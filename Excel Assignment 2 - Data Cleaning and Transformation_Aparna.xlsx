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Analytics\Excel\Assignment\"/>
    </mc:Choice>
  </mc:AlternateContent>
  <xr:revisionPtr revIDLastSave="0" documentId="13_ncr:1_{97E732D3-1074-418F-9C2E-98F8AAD275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" r:id="rId1"/>
    <sheet name="Dataset" sheetId="2" r:id="rId2"/>
    <sheet name="1) Handling Missing Values" sheetId="3" r:id="rId3"/>
    <sheet name="2) Correcting Inconsistent Data" sheetId="4" r:id="rId4"/>
    <sheet name="3) Removing Duplicates" sheetId="7" r:id="rId5"/>
    <sheet name="4) Splitting and Merging Data" sheetId="8" r:id="rId6"/>
    <sheet name="5) Number Formatting" sheetId="9" r:id="rId7"/>
    <sheet name="6) Conditional Formatting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F32" i="11" l="1"/>
  <c r="C32" i="11"/>
  <c r="F31" i="11"/>
  <c r="C31" i="11"/>
  <c r="F30" i="11"/>
  <c r="C30" i="11"/>
  <c r="F29" i="11"/>
  <c r="C29" i="11"/>
  <c r="F28" i="11"/>
  <c r="C28" i="11"/>
  <c r="F27" i="11"/>
  <c r="C27" i="11"/>
  <c r="F26" i="11"/>
  <c r="C26" i="11"/>
  <c r="F25" i="11"/>
  <c r="C25" i="11"/>
  <c r="F24" i="11"/>
  <c r="C24" i="11"/>
  <c r="F23" i="11"/>
  <c r="C23" i="11"/>
  <c r="F22" i="11"/>
  <c r="C22" i="11"/>
  <c r="F21" i="11"/>
  <c r="C21" i="11"/>
  <c r="F20" i="11"/>
  <c r="C20" i="11"/>
  <c r="F19" i="11"/>
  <c r="C19" i="11"/>
  <c r="F18" i="11"/>
  <c r="C18" i="11"/>
  <c r="F17" i="11"/>
  <c r="C17" i="11"/>
  <c r="F16" i="11"/>
  <c r="C16" i="11"/>
  <c r="F15" i="11"/>
  <c r="C15" i="11"/>
  <c r="F14" i="11"/>
  <c r="C14" i="11"/>
  <c r="F13" i="11"/>
  <c r="C13" i="11"/>
  <c r="F12" i="11"/>
  <c r="C12" i="11"/>
  <c r="F11" i="11"/>
  <c r="C11" i="11"/>
  <c r="F10" i="11"/>
  <c r="C10" i="11"/>
  <c r="F9" i="11"/>
  <c r="C9" i="11"/>
  <c r="F8" i="11"/>
  <c r="C8" i="11"/>
  <c r="F7" i="11"/>
  <c r="C7" i="11"/>
  <c r="F6" i="11"/>
  <c r="C6" i="11"/>
  <c r="F5" i="11"/>
  <c r="C5" i="11"/>
  <c r="F4" i="11"/>
  <c r="C4" i="11"/>
  <c r="F3" i="11"/>
  <c r="C3" i="11"/>
  <c r="F2" i="11"/>
  <c r="C2" i="11"/>
  <c r="F32" i="9"/>
  <c r="C32" i="9"/>
  <c r="F31" i="9"/>
  <c r="C31" i="9"/>
  <c r="F30" i="9"/>
  <c r="C30" i="9"/>
  <c r="F29" i="9"/>
  <c r="C29" i="9"/>
  <c r="F28" i="9"/>
  <c r="C28" i="9"/>
  <c r="F27" i="9"/>
  <c r="C27" i="9"/>
  <c r="F26" i="9"/>
  <c r="C26" i="9"/>
  <c r="F25" i="9"/>
  <c r="C25" i="9"/>
  <c r="F24" i="9"/>
  <c r="C24" i="9"/>
  <c r="F23" i="9"/>
  <c r="C23" i="9"/>
  <c r="F22" i="9"/>
  <c r="C22" i="9"/>
  <c r="F21" i="9"/>
  <c r="C21" i="9"/>
  <c r="F20" i="9"/>
  <c r="C20" i="9"/>
  <c r="F19" i="9"/>
  <c r="C19" i="9"/>
  <c r="F18" i="9"/>
  <c r="C18" i="9"/>
  <c r="F17" i="9"/>
  <c r="C17" i="9"/>
  <c r="F16" i="9"/>
  <c r="C16" i="9"/>
  <c r="F15" i="9"/>
  <c r="C15" i="9"/>
  <c r="F14" i="9"/>
  <c r="C14" i="9"/>
  <c r="F13" i="9"/>
  <c r="C13" i="9"/>
  <c r="F12" i="9"/>
  <c r="C12" i="9"/>
  <c r="F11" i="9"/>
  <c r="C11" i="9"/>
  <c r="F10" i="9"/>
  <c r="C10" i="9"/>
  <c r="F9" i="9"/>
  <c r="C9" i="9"/>
  <c r="F8" i="9"/>
  <c r="C8" i="9"/>
  <c r="F7" i="9"/>
  <c r="C7" i="9"/>
  <c r="F6" i="9"/>
  <c r="C6" i="9"/>
  <c r="F5" i="9"/>
  <c r="C5" i="9"/>
  <c r="F4" i="9"/>
  <c r="C4" i="9"/>
  <c r="F3" i="9"/>
  <c r="C3" i="9"/>
  <c r="F2" i="9"/>
  <c r="C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2" i="8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2" i="4"/>
  <c r="E7" i="3"/>
  <c r="J2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" i="3"/>
  <c r="E2" i="3"/>
</calcChain>
</file>

<file path=xl/sharedStrings.xml><?xml version="1.0" encoding="utf-8"?>
<sst xmlns="http://schemas.openxmlformats.org/spreadsheetml/2006/main" count="1008" uniqueCount="124">
  <si>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</si>
  <si>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</si>
  <si>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</si>
  <si>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</si>
  <si>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</si>
  <si>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</si>
  <si>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</si>
  <si>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</si>
  <si>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</si>
  <si>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</si>
  <si>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</si>
  <si>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</si>
  <si>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</si>
  <si>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</si>
  <si>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</si>
  <si>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</si>
  <si>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</si>
  <si>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</si>
  <si>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</si>
  <si>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</si>
  <si>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</si>
  <si>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</si>
  <si>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</si>
  <si>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</si>
  <si>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</si>
  <si>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</si>
  <si>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</si>
  <si>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</si>
  <si>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</si>
  <si>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</si>
  <si>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</si>
  <si>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</si>
  <si>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</si>
  <si>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</si>
  <si>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</si>
  <si>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</si>
  <si>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</si>
  <si>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</si>
  <si>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</si>
  <si>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</si>
  <si>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</si>
  <si>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</si>
  <si>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</si>
  <si>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</si>
  <si>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</si>
  <si>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</si>
  <si>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</si>
  <si>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</si>
  <si>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</si>
  <si>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</si>
  <si>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</si>
  <si>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</si>
  <si>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</si>
  <si>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</si>
  <si>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</si>
  <si>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</si>
  <si>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</si>
  <si>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</si>
  <si>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</si>
  <si>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</si>
  <si>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</si>
  <si>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</si>
  <si>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</si>
  <si>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</si>
  <si>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</si>
  <si>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</si>
  <si>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</si>
  <si>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</si>
  <si>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</si>
  <si>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</si>
  <si>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</si>
  <si>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</si>
  <si>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</si>
  <si>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</si>
  <si>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</si>
  <si>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</si>
  <si>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</si>
  <si>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</si>
  <si>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</si>
  <si>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</si>
  <si>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</si>
  <si>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</si>
  <si>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</si>
  <si>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</si>
  <si>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</si>
  <si>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</si>
  <si>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</si>
  <si>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</si>
  <si>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</si>
  <si>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</si>
  <si>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</si>
  <si>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</si>
  <si>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</si>
  <si>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</si>
  <si>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</si>
  <si>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</si>
  <si>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</si>
  <si>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</si>
  <si>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</si>
  <si>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</si>
  <si>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</si>
  <si>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</si>
  <si>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</si>
  <si>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</si>
  <si>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</si>
  <si>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</si>
  <si>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</si>
  <si>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</si>
  <si>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</si>
  <si>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</si>
  <si>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</si>
  <si>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</si>
  <si>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</si>
  <si>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</si>
  <si>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</si>
  <si>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</si>
  <si>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Mean Price</t>
  </si>
  <si>
    <t>Price($)</t>
  </si>
  <si>
    <t>No Data Found</t>
  </si>
  <si>
    <t>Product Name
(case function)</t>
  </si>
  <si>
    <t>Product Name
Find and Replace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</si>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</sst>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([$$-409]* #,##0.00_);_([$$-409]* \(#,##0.00\);_([$$-409]* &quot;-&quot;??_);_(@_)"/>
    <numFmt numFmtId="172" formatCode="dd\-mm\-yyyy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4" borderId="1" xfId="0" applyFont="1" applyFill="1" applyBorder="1"/>
    <xf numFmtId="0" fontId="10" fillId="2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0" fontId="8" fillId="0" borderId="0" xfId="0" applyFont="1"/>
    <xf numFmtId="0" fontId="8" fillId="3" borderId="0" xfId="0" applyFont="1" applyFill="1"/>
    <xf numFmtId="0" fontId="11" fillId="3" borderId="0" xfId="0" applyFont="1" applyFill="1"/>
    <xf numFmtId="0" fontId="15" fillId="0" borderId="0" xfId="0" applyFont="1"/>
    <xf numFmtId="0" fontId="10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/>
    <xf numFmtId="0" fontId="5" fillId="0" borderId="0" xfId="0" applyFont="1" applyAlignment="1">
      <alignment horizontal="left"/>
    </xf>
    <xf numFmtId="167" fontId="5" fillId="0" borderId="0" xfId="0" applyNumberFormat="1" applyFont="1"/>
    <xf numFmtId="167" fontId="5" fillId="3" borderId="0" xfId="0" applyNumberFormat="1" applyFont="1" applyFill="1"/>
    <xf numFmtId="14" fontId="0" fillId="0" borderId="0" xfId="0" applyNumberFormat="1"/>
    <xf numFmtId="172" fontId="8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topLeftCell="A14" workbookViewId="0">
      <selection activeCell="G24" sqref="G24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18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18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18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22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18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22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8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M7" sqref="M7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76C7-88E0-47C1-98CB-A7F77FF3DD52}">
  <dimension ref="A1:J35"/>
  <sheetViews>
    <sheetView workbookViewId="0">
      <selection activeCell="I8" sqref="I8"/>
    </sheetView>
  </sheetViews>
  <sheetFormatPr defaultRowHeight="12.5" x14ac:dyDescent="0.25"/>
  <cols>
    <col min="1" max="1" width="16.08984375" customWidth="1"/>
    <col min="2" max="2" width="16.81640625" customWidth="1"/>
    <col min="3" max="3" width="19.08984375" customWidth="1"/>
    <col min="4" max="4" width="13.90625" customWidth="1"/>
    <col min="5" max="5" width="13.90625" style="14" customWidth="1"/>
    <col min="6" max="6" width="14.7265625" customWidth="1"/>
    <col min="7" max="7" width="14" customWidth="1"/>
    <col min="9" max="9" width="19.36328125" customWidth="1"/>
  </cols>
  <sheetData>
    <row r="1" spans="1:10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10" t="s">
        <v>117</v>
      </c>
      <c r="F1" s="7" t="s">
        <v>23</v>
      </c>
      <c r="G1" s="7" t="s">
        <v>24</v>
      </c>
    </row>
    <row r="2" spans="1:10" x14ac:dyDescent="0.25">
      <c r="A2" s="5" t="s">
        <v>25</v>
      </c>
      <c r="B2" s="5" t="s">
        <v>26</v>
      </c>
      <c r="C2" s="5" t="s">
        <v>27</v>
      </c>
      <c r="D2" s="5">
        <v>1000</v>
      </c>
      <c r="E2" s="13">
        <f>IF(ISBLANK(D2),AVERAGE(D$2:D$35),D2)</f>
        <v>1000</v>
      </c>
      <c r="F2" s="5">
        <v>30</v>
      </c>
      <c r="G2" s="5" t="s">
        <v>28</v>
      </c>
      <c r="I2" s="9" t="s">
        <v>116</v>
      </c>
      <c r="J2" s="9">
        <f>AVERAGE(D2:D35)</f>
        <v>309.35483870967744</v>
      </c>
    </row>
    <row r="3" spans="1:10" x14ac:dyDescent="0.25">
      <c r="A3" s="8" t="s">
        <v>29</v>
      </c>
      <c r="B3" s="8" t="s">
        <v>30</v>
      </c>
      <c r="C3" s="8" t="s">
        <v>31</v>
      </c>
      <c r="D3" s="8">
        <v>80</v>
      </c>
      <c r="E3" s="13">
        <f>IF(ISBLANK(D3),AVERAGE(D$2:D$35),D3)</f>
        <v>80</v>
      </c>
      <c r="F3" s="8">
        <v>15</v>
      </c>
      <c r="G3" s="8" t="s">
        <v>32</v>
      </c>
    </row>
    <row r="4" spans="1:10" x14ac:dyDescent="0.25">
      <c r="A4" s="5" t="s">
        <v>33</v>
      </c>
      <c r="B4" s="5" t="s">
        <v>34</v>
      </c>
      <c r="C4" s="5" t="s">
        <v>35</v>
      </c>
      <c r="D4" s="5">
        <v>130</v>
      </c>
      <c r="E4" s="13">
        <f t="shared" ref="E4:E35" si="0">IF(ISBLANK(D4),AVERAGE(D$2:D$35),D4)</f>
        <v>130</v>
      </c>
      <c r="F4" s="5">
        <v>40</v>
      </c>
      <c r="G4" s="5" t="s">
        <v>36</v>
      </c>
    </row>
    <row r="5" spans="1:10" x14ac:dyDescent="0.25">
      <c r="A5" s="8" t="s">
        <v>37</v>
      </c>
      <c r="B5" s="8" t="s">
        <v>38</v>
      </c>
      <c r="C5" s="8" t="s">
        <v>39</v>
      </c>
      <c r="D5" s="8">
        <v>900</v>
      </c>
      <c r="E5" s="13">
        <f t="shared" si="0"/>
        <v>900</v>
      </c>
      <c r="F5" s="8">
        <v>25</v>
      </c>
      <c r="G5" s="8" t="s">
        <v>28</v>
      </c>
    </row>
    <row r="6" spans="1:10" x14ac:dyDescent="0.25">
      <c r="A6" s="5" t="s">
        <v>40</v>
      </c>
      <c r="B6" s="5" t="s">
        <v>41</v>
      </c>
      <c r="C6" s="5" t="s">
        <v>42</v>
      </c>
      <c r="D6" s="5">
        <v>70</v>
      </c>
      <c r="E6" s="13">
        <f t="shared" si="0"/>
        <v>70</v>
      </c>
      <c r="F6" s="5">
        <v>20</v>
      </c>
      <c r="G6" s="11" t="s">
        <v>118</v>
      </c>
    </row>
    <row r="7" spans="1:10" x14ac:dyDescent="0.25">
      <c r="A7" s="8" t="s">
        <v>43</v>
      </c>
      <c r="B7" s="8" t="s">
        <v>44</v>
      </c>
      <c r="C7" s="8" t="s">
        <v>45</v>
      </c>
      <c r="D7" s="8"/>
      <c r="E7" s="13">
        <f>IF(ISBLANK(D7),AVERAGE(D$2:D$35),D7)</f>
        <v>309.35483870967744</v>
      </c>
      <c r="F7" s="8">
        <v>45</v>
      </c>
      <c r="G7" s="8" t="s">
        <v>46</v>
      </c>
    </row>
    <row r="8" spans="1:10" x14ac:dyDescent="0.25">
      <c r="A8" s="5" t="s">
        <v>47</v>
      </c>
      <c r="B8" s="5" t="s">
        <v>48</v>
      </c>
      <c r="C8" s="5" t="s">
        <v>49</v>
      </c>
      <c r="D8" s="5">
        <v>30</v>
      </c>
      <c r="E8" s="13">
        <f t="shared" si="0"/>
        <v>30</v>
      </c>
      <c r="F8" s="5">
        <v>5</v>
      </c>
      <c r="G8" s="5" t="s">
        <v>32</v>
      </c>
    </row>
    <row r="9" spans="1:10" x14ac:dyDescent="0.25">
      <c r="A9" s="8" t="s">
        <v>50</v>
      </c>
      <c r="B9" s="8" t="s">
        <v>51</v>
      </c>
      <c r="C9" s="8" t="s">
        <v>52</v>
      </c>
      <c r="D9" s="8">
        <v>90</v>
      </c>
      <c r="E9" s="13">
        <f t="shared" si="0"/>
        <v>90</v>
      </c>
      <c r="F9" s="8">
        <v>35</v>
      </c>
      <c r="G9" s="8" t="s">
        <v>36</v>
      </c>
    </row>
    <row r="10" spans="1:10" x14ac:dyDescent="0.25">
      <c r="A10" s="5" t="s">
        <v>53</v>
      </c>
      <c r="B10" s="5" t="s">
        <v>54</v>
      </c>
      <c r="C10" s="5" t="s">
        <v>55</v>
      </c>
      <c r="D10" s="5">
        <v>500</v>
      </c>
      <c r="E10" s="13">
        <f t="shared" si="0"/>
        <v>500</v>
      </c>
      <c r="F10" s="5">
        <v>50</v>
      </c>
      <c r="G10" s="5" t="s">
        <v>28</v>
      </c>
    </row>
    <row r="11" spans="1:10" x14ac:dyDescent="0.25">
      <c r="A11" s="8" t="s">
        <v>56</v>
      </c>
      <c r="B11" s="8" t="s">
        <v>57</v>
      </c>
      <c r="C11" s="8" t="s">
        <v>58</v>
      </c>
      <c r="D11" s="8">
        <v>130</v>
      </c>
      <c r="E11" s="13">
        <f t="shared" si="0"/>
        <v>130</v>
      </c>
      <c r="F11" s="8">
        <v>10</v>
      </c>
      <c r="G11" s="8" t="s">
        <v>59</v>
      </c>
    </row>
    <row r="12" spans="1:10" x14ac:dyDescent="0.25">
      <c r="A12" s="5" t="s">
        <v>60</v>
      </c>
      <c r="B12" s="5" t="s">
        <v>61</v>
      </c>
      <c r="C12" s="5" t="s">
        <v>62</v>
      </c>
      <c r="D12" s="5">
        <v>950</v>
      </c>
      <c r="E12" s="13">
        <f t="shared" si="0"/>
        <v>950</v>
      </c>
      <c r="F12" s="5">
        <v>25</v>
      </c>
      <c r="G12" s="5" t="s">
        <v>28</v>
      </c>
    </row>
    <row r="13" spans="1:10" x14ac:dyDescent="0.25">
      <c r="A13" s="8" t="s">
        <v>63</v>
      </c>
      <c r="B13" s="8" t="s">
        <v>30</v>
      </c>
      <c r="C13" s="8" t="s">
        <v>49</v>
      </c>
      <c r="D13" s="8">
        <v>90</v>
      </c>
      <c r="E13" s="13">
        <f t="shared" si="0"/>
        <v>90</v>
      </c>
      <c r="F13" s="8">
        <v>40</v>
      </c>
      <c r="G13" s="17" t="s">
        <v>118</v>
      </c>
    </row>
    <row r="14" spans="1:10" x14ac:dyDescent="0.25">
      <c r="A14" s="5" t="s">
        <v>64</v>
      </c>
      <c r="B14" s="5" t="s">
        <v>34</v>
      </c>
      <c r="C14" s="5" t="s">
        <v>65</v>
      </c>
      <c r="D14" s="5">
        <v>120</v>
      </c>
      <c r="E14" s="13">
        <f t="shared" si="0"/>
        <v>120</v>
      </c>
      <c r="F14" s="5">
        <v>35</v>
      </c>
      <c r="G14" s="11" t="s">
        <v>118</v>
      </c>
    </row>
    <row r="15" spans="1:10" x14ac:dyDescent="0.25">
      <c r="A15" s="8" t="s">
        <v>66</v>
      </c>
      <c r="B15" s="8" t="s">
        <v>67</v>
      </c>
      <c r="C15" s="8" t="s">
        <v>68</v>
      </c>
      <c r="D15" s="8">
        <v>150</v>
      </c>
      <c r="E15" s="13">
        <f t="shared" si="0"/>
        <v>150</v>
      </c>
      <c r="F15" s="8">
        <v>15</v>
      </c>
      <c r="G15" s="8" t="s">
        <v>46</v>
      </c>
    </row>
    <row r="16" spans="1:10" x14ac:dyDescent="0.25">
      <c r="A16" s="5" t="s">
        <v>69</v>
      </c>
      <c r="B16" s="5" t="s">
        <v>70</v>
      </c>
      <c r="C16" s="5" t="s">
        <v>71</v>
      </c>
      <c r="D16" s="5">
        <v>250</v>
      </c>
      <c r="E16" s="13">
        <f t="shared" si="0"/>
        <v>250</v>
      </c>
      <c r="F16" s="5">
        <v>20</v>
      </c>
      <c r="G16" s="5" t="s">
        <v>46</v>
      </c>
    </row>
    <row r="17" spans="1:7" x14ac:dyDescent="0.25">
      <c r="A17" s="8" t="s">
        <v>72</v>
      </c>
      <c r="B17" s="8" t="s">
        <v>73</v>
      </c>
      <c r="C17" s="8" t="s">
        <v>74</v>
      </c>
      <c r="D17" s="8">
        <v>50</v>
      </c>
      <c r="E17" s="13">
        <f t="shared" si="0"/>
        <v>50</v>
      </c>
      <c r="F17" s="8">
        <v>35</v>
      </c>
      <c r="G17" s="8" t="s">
        <v>75</v>
      </c>
    </row>
    <row r="18" spans="1:7" x14ac:dyDescent="0.25">
      <c r="A18" s="5" t="s">
        <v>76</v>
      </c>
      <c r="B18" s="5" t="s">
        <v>67</v>
      </c>
      <c r="C18" s="5" t="s">
        <v>77</v>
      </c>
      <c r="D18" s="5">
        <v>160</v>
      </c>
      <c r="E18" s="13">
        <f t="shared" si="0"/>
        <v>160</v>
      </c>
      <c r="F18" s="5">
        <v>15</v>
      </c>
      <c r="G18" s="5" t="s">
        <v>46</v>
      </c>
    </row>
    <row r="19" spans="1:7" x14ac:dyDescent="0.25">
      <c r="A19" s="8" t="s">
        <v>78</v>
      </c>
      <c r="B19" s="8" t="s">
        <v>26</v>
      </c>
      <c r="C19" s="8" t="s">
        <v>79</v>
      </c>
      <c r="D19" s="8">
        <v>980</v>
      </c>
      <c r="E19" s="13">
        <f t="shared" si="0"/>
        <v>980</v>
      </c>
      <c r="F19" s="8">
        <v>10</v>
      </c>
      <c r="G19" s="8" t="s">
        <v>28</v>
      </c>
    </row>
    <row r="20" spans="1:7" x14ac:dyDescent="0.25">
      <c r="A20" s="5" t="s">
        <v>80</v>
      </c>
      <c r="B20" s="5" t="s">
        <v>81</v>
      </c>
      <c r="C20" s="5" t="s">
        <v>82</v>
      </c>
      <c r="D20" s="5">
        <v>150</v>
      </c>
      <c r="E20" s="13">
        <f t="shared" si="0"/>
        <v>150</v>
      </c>
      <c r="F20" s="5">
        <v>15</v>
      </c>
      <c r="G20" s="5" t="s">
        <v>32</v>
      </c>
    </row>
    <row r="21" spans="1:7" x14ac:dyDescent="0.25">
      <c r="A21" s="8" t="s">
        <v>83</v>
      </c>
      <c r="B21" s="8" t="s">
        <v>84</v>
      </c>
      <c r="C21" s="8" t="s">
        <v>85</v>
      </c>
      <c r="D21" s="8"/>
      <c r="E21" s="13">
        <f t="shared" si="0"/>
        <v>309.35483870967744</v>
      </c>
      <c r="F21" s="8">
        <v>10</v>
      </c>
      <c r="G21" s="8" t="s">
        <v>59</v>
      </c>
    </row>
    <row r="22" spans="1:7" x14ac:dyDescent="0.25">
      <c r="A22" s="5" t="s">
        <v>86</v>
      </c>
      <c r="B22" s="5" t="s">
        <v>87</v>
      </c>
      <c r="C22" s="5" t="s">
        <v>88</v>
      </c>
      <c r="D22" s="5">
        <v>700</v>
      </c>
      <c r="E22" s="13">
        <f t="shared" si="0"/>
        <v>700</v>
      </c>
      <c r="F22" s="5">
        <v>50</v>
      </c>
      <c r="G22" s="5" t="s">
        <v>28</v>
      </c>
    </row>
    <row r="23" spans="1:7" x14ac:dyDescent="0.25">
      <c r="A23" s="8" t="s">
        <v>89</v>
      </c>
      <c r="B23" s="8" t="s">
        <v>90</v>
      </c>
      <c r="C23" s="8" t="s">
        <v>91</v>
      </c>
      <c r="D23" s="8">
        <v>80</v>
      </c>
      <c r="E23" s="13">
        <f t="shared" si="0"/>
        <v>80</v>
      </c>
      <c r="F23" s="8">
        <v>20</v>
      </c>
      <c r="G23" s="8" t="s">
        <v>36</v>
      </c>
    </row>
    <row r="24" spans="1:7" x14ac:dyDescent="0.25">
      <c r="A24" s="5" t="s">
        <v>92</v>
      </c>
      <c r="B24" s="5" t="s">
        <v>93</v>
      </c>
      <c r="C24" s="5" t="s">
        <v>94</v>
      </c>
      <c r="D24" s="5">
        <v>150</v>
      </c>
      <c r="E24" s="13">
        <f t="shared" si="0"/>
        <v>150</v>
      </c>
      <c r="F24" s="5">
        <v>30</v>
      </c>
      <c r="G24" s="11" t="s">
        <v>118</v>
      </c>
    </row>
    <row r="25" spans="1:7" x14ac:dyDescent="0.25">
      <c r="A25" s="8" t="s">
        <v>72</v>
      </c>
      <c r="B25" s="8" t="s">
        <v>73</v>
      </c>
      <c r="C25" s="8" t="s">
        <v>74</v>
      </c>
      <c r="D25" s="8">
        <v>50</v>
      </c>
      <c r="E25" s="13">
        <f t="shared" si="0"/>
        <v>50</v>
      </c>
      <c r="F25" s="8">
        <v>35</v>
      </c>
      <c r="G25" s="8" t="s">
        <v>75</v>
      </c>
    </row>
    <row r="26" spans="1:7" x14ac:dyDescent="0.25">
      <c r="A26" s="5" t="s">
        <v>95</v>
      </c>
      <c r="B26" s="5" t="s">
        <v>96</v>
      </c>
      <c r="C26" s="5" t="s">
        <v>97</v>
      </c>
      <c r="D26" s="5">
        <v>800</v>
      </c>
      <c r="E26" s="13">
        <f t="shared" si="0"/>
        <v>800</v>
      </c>
      <c r="F26" s="5">
        <v>45</v>
      </c>
      <c r="G26" s="5" t="s">
        <v>28</v>
      </c>
    </row>
    <row r="27" spans="1:7" x14ac:dyDescent="0.25">
      <c r="A27" s="8" t="s">
        <v>98</v>
      </c>
      <c r="B27" s="8" t="s">
        <v>81</v>
      </c>
      <c r="C27" s="8" t="s">
        <v>99</v>
      </c>
      <c r="D27" s="8"/>
      <c r="E27" s="13">
        <f t="shared" si="0"/>
        <v>309.35483870967744</v>
      </c>
      <c r="F27" s="8">
        <v>25</v>
      </c>
      <c r="G27" s="8" t="s">
        <v>32</v>
      </c>
    </row>
    <row r="28" spans="1:7" x14ac:dyDescent="0.25">
      <c r="A28" s="5" t="s">
        <v>100</v>
      </c>
      <c r="B28" s="5" t="s">
        <v>51</v>
      </c>
      <c r="C28" s="5" t="s">
        <v>101</v>
      </c>
      <c r="D28" s="5">
        <v>400</v>
      </c>
      <c r="E28" s="13">
        <f t="shared" si="0"/>
        <v>400</v>
      </c>
      <c r="F28" s="5">
        <v>40</v>
      </c>
      <c r="G28" s="5" t="s">
        <v>36</v>
      </c>
    </row>
    <row r="29" spans="1:7" x14ac:dyDescent="0.25">
      <c r="A29" s="8" t="s">
        <v>69</v>
      </c>
      <c r="B29" s="8" t="s">
        <v>70</v>
      </c>
      <c r="C29" s="8" t="s">
        <v>71</v>
      </c>
      <c r="D29" s="8">
        <v>250</v>
      </c>
      <c r="E29" s="13">
        <f t="shared" si="0"/>
        <v>250</v>
      </c>
      <c r="F29" s="8">
        <v>20</v>
      </c>
      <c r="G29" s="8" t="s">
        <v>46</v>
      </c>
    </row>
    <row r="30" spans="1:7" x14ac:dyDescent="0.25">
      <c r="A30" s="5" t="s">
        <v>102</v>
      </c>
      <c r="B30" s="5" t="s">
        <v>103</v>
      </c>
      <c r="C30" s="5" t="s">
        <v>104</v>
      </c>
      <c r="D30" s="5">
        <v>60</v>
      </c>
      <c r="E30" s="13">
        <f t="shared" si="0"/>
        <v>60</v>
      </c>
      <c r="F30" s="5">
        <v>30</v>
      </c>
      <c r="G30" s="5" t="s">
        <v>32</v>
      </c>
    </row>
    <row r="31" spans="1:7" x14ac:dyDescent="0.25">
      <c r="A31" s="8" t="s">
        <v>105</v>
      </c>
      <c r="B31" s="8" t="s">
        <v>106</v>
      </c>
      <c r="C31" s="8" t="s">
        <v>107</v>
      </c>
      <c r="D31" s="8">
        <v>40</v>
      </c>
      <c r="E31" s="13">
        <f t="shared" si="0"/>
        <v>40</v>
      </c>
      <c r="F31" s="8">
        <v>10</v>
      </c>
      <c r="G31" s="8" t="s">
        <v>36</v>
      </c>
    </row>
    <row r="32" spans="1:7" x14ac:dyDescent="0.25">
      <c r="A32" s="5" t="s">
        <v>108</v>
      </c>
      <c r="B32" s="5" t="s">
        <v>93</v>
      </c>
      <c r="C32" s="5" t="s">
        <v>109</v>
      </c>
      <c r="D32" s="5">
        <v>130</v>
      </c>
      <c r="E32" s="13">
        <f t="shared" si="0"/>
        <v>130</v>
      </c>
      <c r="F32" s="5">
        <v>5</v>
      </c>
      <c r="G32" s="5" t="s">
        <v>28</v>
      </c>
    </row>
    <row r="33" spans="1:7" x14ac:dyDescent="0.25">
      <c r="A33" s="8" t="s">
        <v>110</v>
      </c>
      <c r="B33" s="8" t="s">
        <v>111</v>
      </c>
      <c r="C33" s="8" t="s">
        <v>112</v>
      </c>
      <c r="D33" s="8">
        <v>50</v>
      </c>
      <c r="E33" s="13">
        <f t="shared" si="0"/>
        <v>50</v>
      </c>
      <c r="F33" s="8">
        <v>50</v>
      </c>
      <c r="G33" s="8" t="s">
        <v>32</v>
      </c>
    </row>
    <row r="34" spans="1:7" x14ac:dyDescent="0.25">
      <c r="A34" s="5" t="s">
        <v>60</v>
      </c>
      <c r="B34" s="5" t="s">
        <v>61</v>
      </c>
      <c r="C34" s="5" t="s">
        <v>62</v>
      </c>
      <c r="D34" s="5">
        <v>950</v>
      </c>
      <c r="E34" s="13">
        <f t="shared" si="0"/>
        <v>950</v>
      </c>
      <c r="F34" s="5">
        <v>25</v>
      </c>
      <c r="G34" s="5" t="s">
        <v>28</v>
      </c>
    </row>
    <row r="35" spans="1:7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13">
        <f t="shared" si="0"/>
        <v>100</v>
      </c>
      <c r="F35" s="8">
        <v>20</v>
      </c>
      <c r="G35" s="8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2802-3018-49A7-9D2A-265EE08455AC}">
  <sheetPr>
    <outlinePr summaryBelow="0" summaryRight="0"/>
  </sheetPr>
  <dimension ref="A1:Q1000"/>
  <sheetViews>
    <sheetView workbookViewId="0">
      <selection activeCell="C2" sqref="C2"/>
    </sheetView>
  </sheetViews>
  <sheetFormatPr defaultColWidth="12.6328125" defaultRowHeight="15" customHeight="1" x14ac:dyDescent="0.25"/>
  <cols>
    <col min="1" max="2" width="12.6328125" customWidth="1"/>
    <col min="3" max="3" width="24.453125" customWidth="1"/>
    <col min="4" max="4" width="30" customWidth="1"/>
    <col min="5" max="6" width="12.6328125" customWidth="1"/>
    <col min="7" max="7" width="13.1796875" customWidth="1"/>
    <col min="8" max="8" width="15.90625" customWidth="1"/>
  </cols>
  <sheetData>
    <row r="1" spans="1:17" ht="30" customHeight="1" x14ac:dyDescent="0.3">
      <c r="A1" s="7" t="s">
        <v>19</v>
      </c>
      <c r="B1" s="7" t="s">
        <v>20</v>
      </c>
      <c r="C1" s="19" t="s">
        <v>120</v>
      </c>
      <c r="D1" s="19" t="s">
        <v>119</v>
      </c>
      <c r="E1" s="7" t="s">
        <v>21</v>
      </c>
      <c r="F1" s="7" t="s">
        <v>22</v>
      </c>
      <c r="G1" s="7" t="s">
        <v>23</v>
      </c>
      <c r="H1" s="10" t="s">
        <v>24</v>
      </c>
    </row>
    <row r="2" spans="1:17" ht="15.75" customHeight="1" x14ac:dyDescent="0.25">
      <c r="A2" s="5" t="s">
        <v>25</v>
      </c>
      <c r="B2" s="5" t="s">
        <v>26</v>
      </c>
      <c r="C2" s="5" t="s">
        <v>61</v>
      </c>
      <c r="D2" s="5" t="str">
        <f>PROPER(B2)</f>
        <v>Laptop</v>
      </c>
      <c r="E2" s="5" t="s">
        <v>27</v>
      </c>
      <c r="F2" s="5">
        <v>1000</v>
      </c>
      <c r="G2" s="5">
        <v>30</v>
      </c>
      <c r="H2" s="5" t="s">
        <v>28</v>
      </c>
    </row>
    <row r="3" spans="1:17" ht="15.75" customHeight="1" x14ac:dyDescent="0.3">
      <c r="A3" s="8" t="s">
        <v>29</v>
      </c>
      <c r="B3" s="8" t="s">
        <v>30</v>
      </c>
      <c r="C3" s="8" t="s">
        <v>30</v>
      </c>
      <c r="D3" s="5" t="str">
        <f t="shared" ref="D3:D35" si="0">PROPER(B3)</f>
        <v>Sneakers</v>
      </c>
      <c r="E3" s="8" t="s">
        <v>31</v>
      </c>
      <c r="F3" s="8">
        <v>80</v>
      </c>
      <c r="G3" s="8">
        <v>15</v>
      </c>
      <c r="H3" s="8" t="s">
        <v>32</v>
      </c>
      <c r="J3" s="2"/>
      <c r="K3" s="5"/>
      <c r="L3" s="5"/>
      <c r="M3" s="5"/>
      <c r="N3" s="5"/>
      <c r="O3" s="5"/>
      <c r="P3" s="5"/>
      <c r="Q3" s="5"/>
    </row>
    <row r="4" spans="1:17" ht="15.75" customHeight="1" x14ac:dyDescent="0.35">
      <c r="A4" s="5" t="s">
        <v>33</v>
      </c>
      <c r="B4" s="5" t="s">
        <v>34</v>
      </c>
      <c r="C4" s="5" t="s">
        <v>34</v>
      </c>
      <c r="D4" s="5" t="str">
        <f t="shared" si="0"/>
        <v>Coffee Maker</v>
      </c>
      <c r="E4" s="5" t="s">
        <v>35</v>
      </c>
      <c r="F4" s="5">
        <v>130</v>
      </c>
      <c r="G4" s="5">
        <v>40</v>
      </c>
      <c r="H4" s="5" t="s">
        <v>36</v>
      </c>
      <c r="J4" s="5"/>
      <c r="K4" s="3"/>
      <c r="L4" s="5"/>
      <c r="M4" s="5"/>
      <c r="N4" s="5"/>
      <c r="O4" s="5"/>
      <c r="P4" s="5"/>
      <c r="Q4" s="5"/>
    </row>
    <row r="5" spans="1:17" ht="15.75" customHeight="1" x14ac:dyDescent="0.35">
      <c r="A5" s="8" t="s">
        <v>37</v>
      </c>
      <c r="B5" s="8" t="s">
        <v>38</v>
      </c>
      <c r="C5" s="16" t="s">
        <v>96</v>
      </c>
      <c r="D5" s="5" t="str">
        <f t="shared" si="0"/>
        <v>Smartphone</v>
      </c>
      <c r="E5" s="8" t="s">
        <v>39</v>
      </c>
      <c r="F5" s="8">
        <v>900</v>
      </c>
      <c r="G5" s="8">
        <v>25</v>
      </c>
      <c r="H5" s="8" t="s">
        <v>28</v>
      </c>
      <c r="J5" s="5"/>
      <c r="K5" s="3"/>
      <c r="L5" s="5"/>
      <c r="M5" s="5"/>
      <c r="N5" s="5"/>
      <c r="O5" s="5"/>
      <c r="P5" s="5"/>
      <c r="Q5" s="5"/>
    </row>
    <row r="6" spans="1:17" ht="15.75" customHeight="1" x14ac:dyDescent="0.25">
      <c r="A6" s="5" t="s">
        <v>40</v>
      </c>
      <c r="B6" s="5" t="s">
        <v>41</v>
      </c>
      <c r="C6" s="5" t="s">
        <v>41</v>
      </c>
      <c r="D6" s="5" t="str">
        <f t="shared" si="0"/>
        <v>Backpack</v>
      </c>
      <c r="E6" s="5" t="s">
        <v>42</v>
      </c>
      <c r="F6" s="5">
        <v>70</v>
      </c>
      <c r="G6" s="5">
        <v>20</v>
      </c>
      <c r="H6" s="15" t="s">
        <v>118</v>
      </c>
    </row>
    <row r="7" spans="1:17" ht="15.75" customHeight="1" x14ac:dyDescent="0.25">
      <c r="A7" s="8" t="s">
        <v>43</v>
      </c>
      <c r="B7" s="8" t="s">
        <v>44</v>
      </c>
      <c r="C7" s="8" t="s">
        <v>44</v>
      </c>
      <c r="D7" s="5" t="str">
        <f t="shared" si="0"/>
        <v>Headphones</v>
      </c>
      <c r="E7" s="8" t="s">
        <v>45</v>
      </c>
      <c r="F7" s="8">
        <v>309.35399999999998</v>
      </c>
      <c r="G7" s="8">
        <v>45</v>
      </c>
      <c r="H7" s="16" t="s">
        <v>28</v>
      </c>
    </row>
    <row r="8" spans="1:17" ht="15.75" customHeight="1" x14ac:dyDescent="0.25">
      <c r="A8" s="5" t="s">
        <v>47</v>
      </c>
      <c r="B8" s="5" t="s">
        <v>48</v>
      </c>
      <c r="C8" s="5" t="s">
        <v>48</v>
      </c>
      <c r="D8" s="5" t="str">
        <f t="shared" si="0"/>
        <v>T-Shirt</v>
      </c>
      <c r="E8" s="5" t="s">
        <v>49</v>
      </c>
      <c r="F8" s="5">
        <v>30</v>
      </c>
      <c r="G8" s="5">
        <v>5</v>
      </c>
      <c r="H8" s="5" t="s">
        <v>32</v>
      </c>
    </row>
    <row r="9" spans="1:17" ht="15.75" customHeight="1" x14ac:dyDescent="0.25">
      <c r="A9" s="8" t="s">
        <v>50</v>
      </c>
      <c r="B9" s="8" t="s">
        <v>51</v>
      </c>
      <c r="C9" s="8" t="s">
        <v>51</v>
      </c>
      <c r="D9" s="5" t="str">
        <f t="shared" si="0"/>
        <v>Blender</v>
      </c>
      <c r="E9" s="8" t="s">
        <v>52</v>
      </c>
      <c r="F9" s="8">
        <v>90</v>
      </c>
      <c r="G9" s="8">
        <v>35</v>
      </c>
      <c r="H9" s="8" t="s">
        <v>36</v>
      </c>
    </row>
    <row r="10" spans="1:17" ht="15.75" customHeight="1" x14ac:dyDescent="0.25">
      <c r="A10" s="5" t="s">
        <v>53</v>
      </c>
      <c r="B10" s="5" t="s">
        <v>54</v>
      </c>
      <c r="C10" s="5" t="s">
        <v>54</v>
      </c>
      <c r="D10" s="5" t="str">
        <f t="shared" si="0"/>
        <v>Tablet</v>
      </c>
      <c r="E10" s="5" t="s">
        <v>55</v>
      </c>
      <c r="F10" s="5">
        <v>500</v>
      </c>
      <c r="G10" s="5">
        <v>50</v>
      </c>
      <c r="H10" s="5" t="s">
        <v>28</v>
      </c>
    </row>
    <row r="11" spans="1:17" ht="15.75" customHeight="1" x14ac:dyDescent="0.25">
      <c r="A11" s="8" t="s">
        <v>56</v>
      </c>
      <c r="B11" s="8" t="s">
        <v>57</v>
      </c>
      <c r="C11" s="8" t="s">
        <v>57</v>
      </c>
      <c r="D11" s="5" t="str">
        <f t="shared" si="0"/>
        <v>Hiking Boots</v>
      </c>
      <c r="E11" s="8" t="s">
        <v>58</v>
      </c>
      <c r="F11" s="8">
        <v>130</v>
      </c>
      <c r="G11" s="8">
        <v>10</v>
      </c>
      <c r="H11" s="8" t="s">
        <v>59</v>
      </c>
    </row>
    <row r="12" spans="1:17" ht="15.75" customHeight="1" x14ac:dyDescent="0.25">
      <c r="A12" s="5" t="s">
        <v>60</v>
      </c>
      <c r="B12" s="5" t="s">
        <v>61</v>
      </c>
      <c r="C12" s="5" t="s">
        <v>61</v>
      </c>
      <c r="D12" s="5" t="str">
        <f t="shared" si="0"/>
        <v>Laptop</v>
      </c>
      <c r="E12" s="5" t="s">
        <v>62</v>
      </c>
      <c r="F12" s="5">
        <v>950</v>
      </c>
      <c r="G12" s="5">
        <v>25</v>
      </c>
      <c r="H12" s="5" t="s">
        <v>28</v>
      </c>
    </row>
    <row r="13" spans="1:17" ht="15.75" customHeight="1" x14ac:dyDescent="0.25">
      <c r="A13" s="8" t="s">
        <v>63</v>
      </c>
      <c r="B13" s="8" t="s">
        <v>30</v>
      </c>
      <c r="C13" s="8" t="s">
        <v>30</v>
      </c>
      <c r="D13" s="5" t="str">
        <f t="shared" si="0"/>
        <v>Sneakers</v>
      </c>
      <c r="E13" s="8" t="s">
        <v>49</v>
      </c>
      <c r="F13" s="8">
        <v>90</v>
      </c>
      <c r="G13" s="8">
        <v>40</v>
      </c>
      <c r="H13" s="16" t="s">
        <v>118</v>
      </c>
    </row>
    <row r="14" spans="1:17" ht="15.75" customHeight="1" x14ac:dyDescent="0.25">
      <c r="A14" s="5" t="s">
        <v>64</v>
      </c>
      <c r="B14" s="5" t="s">
        <v>34</v>
      </c>
      <c r="C14" s="5" t="s">
        <v>34</v>
      </c>
      <c r="D14" s="5" t="str">
        <f t="shared" si="0"/>
        <v>Coffee Maker</v>
      </c>
      <c r="E14" s="5" t="s">
        <v>65</v>
      </c>
      <c r="F14" s="5">
        <v>120</v>
      </c>
      <c r="G14" s="5">
        <v>35</v>
      </c>
      <c r="H14" s="15" t="s">
        <v>118</v>
      </c>
    </row>
    <row r="15" spans="1:17" ht="15.75" customHeight="1" x14ac:dyDescent="0.25">
      <c r="A15" s="8" t="s">
        <v>66</v>
      </c>
      <c r="B15" s="8" t="s">
        <v>67</v>
      </c>
      <c r="C15" s="8" t="s">
        <v>67</v>
      </c>
      <c r="D15" s="5" t="str">
        <f t="shared" si="0"/>
        <v>Smartwatch</v>
      </c>
      <c r="E15" s="8" t="s">
        <v>68</v>
      </c>
      <c r="F15" s="8">
        <v>150</v>
      </c>
      <c r="G15" s="8">
        <v>15</v>
      </c>
      <c r="H15" s="16" t="s">
        <v>28</v>
      </c>
    </row>
    <row r="16" spans="1:17" ht="15.75" customHeight="1" x14ac:dyDescent="0.25">
      <c r="A16" s="5" t="s">
        <v>69</v>
      </c>
      <c r="B16" s="5" t="s">
        <v>70</v>
      </c>
      <c r="C16" s="15" t="s">
        <v>44</v>
      </c>
      <c r="D16" s="5" t="str">
        <f t="shared" si="0"/>
        <v>Headphones</v>
      </c>
      <c r="E16" s="5" t="s">
        <v>71</v>
      </c>
      <c r="F16" s="5">
        <v>250</v>
      </c>
      <c r="G16" s="5">
        <v>20</v>
      </c>
      <c r="H16" s="15" t="s">
        <v>28</v>
      </c>
    </row>
    <row r="17" spans="1:8" ht="15.75" customHeight="1" x14ac:dyDescent="0.25">
      <c r="A17" s="8" t="s">
        <v>72</v>
      </c>
      <c r="B17" s="8" t="s">
        <v>73</v>
      </c>
      <c r="C17" s="8" t="s">
        <v>73</v>
      </c>
      <c r="D17" s="5" t="str">
        <f t="shared" si="0"/>
        <v>Laptop Bag</v>
      </c>
      <c r="E17" s="8" t="s">
        <v>74</v>
      </c>
      <c r="F17" s="8">
        <v>50</v>
      </c>
      <c r="G17" s="8">
        <v>35</v>
      </c>
      <c r="H17" s="8" t="s">
        <v>75</v>
      </c>
    </row>
    <row r="18" spans="1:8" ht="15.75" customHeight="1" x14ac:dyDescent="0.25">
      <c r="A18" s="5" t="s">
        <v>76</v>
      </c>
      <c r="B18" s="5" t="s">
        <v>67</v>
      </c>
      <c r="C18" s="5" t="s">
        <v>67</v>
      </c>
      <c r="D18" s="5" t="str">
        <f t="shared" si="0"/>
        <v>Smartwatch</v>
      </c>
      <c r="E18" s="5" t="s">
        <v>77</v>
      </c>
      <c r="F18" s="5">
        <v>160</v>
      </c>
      <c r="G18" s="5">
        <v>15</v>
      </c>
      <c r="H18" s="15" t="s">
        <v>28</v>
      </c>
    </row>
    <row r="19" spans="1:8" ht="15.75" customHeight="1" x14ac:dyDescent="0.25">
      <c r="A19" s="8" t="s">
        <v>78</v>
      </c>
      <c r="B19" s="8" t="s">
        <v>26</v>
      </c>
      <c r="C19" s="8" t="s">
        <v>61</v>
      </c>
      <c r="D19" s="5" t="str">
        <f t="shared" si="0"/>
        <v>Laptop</v>
      </c>
      <c r="E19" s="8" t="s">
        <v>79</v>
      </c>
      <c r="F19" s="8">
        <v>980</v>
      </c>
      <c r="G19" s="8">
        <v>10</v>
      </c>
      <c r="H19" s="8" t="s">
        <v>28</v>
      </c>
    </row>
    <row r="20" spans="1:8" ht="15.75" customHeight="1" x14ac:dyDescent="0.25">
      <c r="A20" s="5" t="s">
        <v>80</v>
      </c>
      <c r="B20" s="5" t="s">
        <v>81</v>
      </c>
      <c r="C20" s="5" t="s">
        <v>81</v>
      </c>
      <c r="D20" s="5" t="str">
        <f t="shared" si="0"/>
        <v>Sunglasses</v>
      </c>
      <c r="E20" s="5" t="s">
        <v>82</v>
      </c>
      <c r="F20" s="5">
        <v>150</v>
      </c>
      <c r="G20" s="5">
        <v>15</v>
      </c>
      <c r="H20" s="5" t="s">
        <v>32</v>
      </c>
    </row>
    <row r="21" spans="1:8" ht="15.75" customHeight="1" x14ac:dyDescent="0.25">
      <c r="A21" s="8" t="s">
        <v>83</v>
      </c>
      <c r="B21" s="8" t="s">
        <v>84</v>
      </c>
      <c r="C21" s="8" t="s">
        <v>84</v>
      </c>
      <c r="D21" s="5" t="str">
        <f t="shared" si="0"/>
        <v>Camping Tent</v>
      </c>
      <c r="E21" s="8" t="s">
        <v>85</v>
      </c>
      <c r="F21" s="8">
        <v>309.35399999999998</v>
      </c>
      <c r="G21" s="8">
        <v>10</v>
      </c>
      <c r="H21" s="8" t="s">
        <v>59</v>
      </c>
    </row>
    <row r="22" spans="1:8" ht="15.75" customHeight="1" x14ac:dyDescent="0.25">
      <c r="A22" s="5" t="s">
        <v>86</v>
      </c>
      <c r="B22" s="5" t="s">
        <v>87</v>
      </c>
      <c r="C22" s="5" t="s">
        <v>87</v>
      </c>
      <c r="D22" s="5" t="str">
        <f t="shared" si="0"/>
        <v>Camera</v>
      </c>
      <c r="E22" s="5" t="s">
        <v>88</v>
      </c>
      <c r="F22" s="5">
        <v>700</v>
      </c>
      <c r="G22" s="5">
        <v>50</v>
      </c>
      <c r="H22" s="5" t="s">
        <v>28</v>
      </c>
    </row>
    <row r="23" spans="1:8" ht="15.75" customHeight="1" x14ac:dyDescent="0.25">
      <c r="A23" s="8" t="s">
        <v>89</v>
      </c>
      <c r="B23" s="8" t="s">
        <v>90</v>
      </c>
      <c r="C23" s="8" t="s">
        <v>90</v>
      </c>
      <c r="D23" s="5" t="str">
        <f t="shared" si="0"/>
        <v>Microwave</v>
      </c>
      <c r="E23" s="8" t="s">
        <v>91</v>
      </c>
      <c r="F23" s="8">
        <v>80</v>
      </c>
      <c r="G23" s="8">
        <v>20</v>
      </c>
      <c r="H23" s="8" t="s">
        <v>36</v>
      </c>
    </row>
    <row r="24" spans="1:8" ht="15.75" customHeight="1" x14ac:dyDescent="0.25">
      <c r="A24" s="5" t="s">
        <v>92</v>
      </c>
      <c r="B24" s="5" t="s">
        <v>93</v>
      </c>
      <c r="C24" s="5" t="s">
        <v>93</v>
      </c>
      <c r="D24" s="5" t="str">
        <f t="shared" si="0"/>
        <v>Fitness Tracker</v>
      </c>
      <c r="E24" s="5" t="s">
        <v>94</v>
      </c>
      <c r="F24" s="5">
        <v>150</v>
      </c>
      <c r="G24" s="5">
        <v>30</v>
      </c>
      <c r="H24" s="15" t="s">
        <v>118</v>
      </c>
    </row>
    <row r="25" spans="1:8" ht="15.75" customHeight="1" x14ac:dyDescent="0.25">
      <c r="A25" s="8" t="s">
        <v>72</v>
      </c>
      <c r="B25" s="8" t="s">
        <v>73</v>
      </c>
      <c r="C25" s="8" t="s">
        <v>73</v>
      </c>
      <c r="D25" s="5" t="str">
        <f t="shared" si="0"/>
        <v>Laptop Bag</v>
      </c>
      <c r="E25" s="8" t="s">
        <v>74</v>
      </c>
      <c r="F25" s="8">
        <v>50</v>
      </c>
      <c r="G25" s="8">
        <v>35</v>
      </c>
      <c r="H25" s="8" t="s">
        <v>75</v>
      </c>
    </row>
    <row r="26" spans="1:8" ht="15.75" customHeight="1" x14ac:dyDescent="0.25">
      <c r="A26" s="5" t="s">
        <v>95</v>
      </c>
      <c r="B26" s="5" t="s">
        <v>96</v>
      </c>
      <c r="C26" s="5" t="s">
        <v>96</v>
      </c>
      <c r="D26" s="5" t="str">
        <f t="shared" si="0"/>
        <v>Smartphone</v>
      </c>
      <c r="E26" s="5" t="s">
        <v>97</v>
      </c>
      <c r="F26" s="5">
        <v>800</v>
      </c>
      <c r="G26" s="5">
        <v>45</v>
      </c>
      <c r="H26" s="5" t="s">
        <v>28</v>
      </c>
    </row>
    <row r="27" spans="1:8" ht="15.75" customHeight="1" x14ac:dyDescent="0.25">
      <c r="A27" s="8" t="s">
        <v>98</v>
      </c>
      <c r="B27" s="8" t="s">
        <v>81</v>
      </c>
      <c r="C27" s="8" t="s">
        <v>81</v>
      </c>
      <c r="D27" s="5" t="str">
        <f t="shared" si="0"/>
        <v>Sunglasses</v>
      </c>
      <c r="E27" s="8" t="s">
        <v>99</v>
      </c>
      <c r="F27" s="8">
        <v>309.35399999999998</v>
      </c>
      <c r="G27" s="8">
        <v>25</v>
      </c>
      <c r="H27" s="8" t="s">
        <v>32</v>
      </c>
    </row>
    <row r="28" spans="1:8" ht="15.75" customHeight="1" x14ac:dyDescent="0.25">
      <c r="A28" s="5" t="s">
        <v>100</v>
      </c>
      <c r="B28" s="5" t="s">
        <v>51</v>
      </c>
      <c r="C28" s="5" t="s">
        <v>51</v>
      </c>
      <c r="D28" s="5" t="str">
        <f t="shared" si="0"/>
        <v>Blender</v>
      </c>
      <c r="E28" s="5" t="s">
        <v>101</v>
      </c>
      <c r="F28" s="5">
        <v>400</v>
      </c>
      <c r="G28" s="5">
        <v>40</v>
      </c>
      <c r="H28" s="5" t="s">
        <v>36</v>
      </c>
    </row>
    <row r="29" spans="1:8" ht="15.75" customHeight="1" x14ac:dyDescent="0.25">
      <c r="A29" s="8" t="s">
        <v>69</v>
      </c>
      <c r="B29" s="8" t="s">
        <v>70</v>
      </c>
      <c r="C29" s="8" t="s">
        <v>44</v>
      </c>
      <c r="D29" s="5" t="str">
        <f t="shared" si="0"/>
        <v>Headphones</v>
      </c>
      <c r="E29" s="8" t="s">
        <v>71</v>
      </c>
      <c r="F29" s="8">
        <v>250</v>
      </c>
      <c r="G29" s="8">
        <v>20</v>
      </c>
      <c r="H29" s="16" t="s">
        <v>28</v>
      </c>
    </row>
    <row r="30" spans="1:8" ht="15.75" customHeight="1" x14ac:dyDescent="0.25">
      <c r="A30" s="5" t="s">
        <v>102</v>
      </c>
      <c r="B30" s="5" t="s">
        <v>103</v>
      </c>
      <c r="C30" s="5" t="s">
        <v>103</v>
      </c>
      <c r="D30" s="5" t="str">
        <f t="shared" si="0"/>
        <v>Dress</v>
      </c>
      <c r="E30" s="5" t="s">
        <v>104</v>
      </c>
      <c r="F30" s="5">
        <v>60</v>
      </c>
      <c r="G30" s="5">
        <v>30</v>
      </c>
      <c r="H30" s="5" t="s">
        <v>32</v>
      </c>
    </row>
    <row r="31" spans="1:8" ht="15.75" customHeight="1" x14ac:dyDescent="0.25">
      <c r="A31" s="8" t="s">
        <v>105</v>
      </c>
      <c r="B31" s="8" t="s">
        <v>106</v>
      </c>
      <c r="C31" s="8" t="s">
        <v>106</v>
      </c>
      <c r="D31" s="5" t="str">
        <f t="shared" si="0"/>
        <v>Toaster</v>
      </c>
      <c r="E31" s="8" t="s">
        <v>107</v>
      </c>
      <c r="F31" s="8">
        <v>40</v>
      </c>
      <c r="G31" s="8">
        <v>10</v>
      </c>
      <c r="H31" s="8" t="s">
        <v>36</v>
      </c>
    </row>
    <row r="32" spans="1:8" ht="15.75" customHeight="1" x14ac:dyDescent="0.25">
      <c r="A32" s="5" t="s">
        <v>108</v>
      </c>
      <c r="B32" s="5" t="s">
        <v>93</v>
      </c>
      <c r="C32" s="5" t="s">
        <v>93</v>
      </c>
      <c r="D32" s="5" t="str">
        <f t="shared" si="0"/>
        <v>Fitness Tracker</v>
      </c>
      <c r="E32" s="5" t="s">
        <v>109</v>
      </c>
      <c r="F32" s="5">
        <v>130</v>
      </c>
      <c r="G32" s="5">
        <v>5</v>
      </c>
      <c r="H32" s="5" t="s">
        <v>28</v>
      </c>
    </row>
    <row r="33" spans="1:8" ht="15.75" customHeight="1" x14ac:dyDescent="0.25">
      <c r="A33" s="8" t="s">
        <v>110</v>
      </c>
      <c r="B33" s="8" t="s">
        <v>111</v>
      </c>
      <c r="C33" s="8" t="s">
        <v>111</v>
      </c>
      <c r="D33" s="5" t="str">
        <f t="shared" si="0"/>
        <v>Jeans</v>
      </c>
      <c r="E33" s="8" t="s">
        <v>112</v>
      </c>
      <c r="F33" s="8">
        <v>50</v>
      </c>
      <c r="G33" s="8">
        <v>50</v>
      </c>
      <c r="H33" s="8" t="s">
        <v>32</v>
      </c>
    </row>
    <row r="34" spans="1:8" ht="15.75" customHeight="1" x14ac:dyDescent="0.25">
      <c r="A34" s="5" t="s">
        <v>60</v>
      </c>
      <c r="B34" s="5" t="s">
        <v>61</v>
      </c>
      <c r="C34" s="5" t="s">
        <v>61</v>
      </c>
      <c r="D34" s="5" t="str">
        <f t="shared" si="0"/>
        <v>Laptop</v>
      </c>
      <c r="E34" s="5" t="s">
        <v>62</v>
      </c>
      <c r="F34" s="5">
        <v>950</v>
      </c>
      <c r="G34" s="5">
        <v>25</v>
      </c>
      <c r="H34" s="5" t="s">
        <v>28</v>
      </c>
    </row>
    <row r="35" spans="1:8" ht="15.75" customHeight="1" x14ac:dyDescent="0.25">
      <c r="A35" s="8" t="s">
        <v>113</v>
      </c>
      <c r="B35" s="8" t="s">
        <v>114</v>
      </c>
      <c r="C35" s="8" t="s">
        <v>114</v>
      </c>
      <c r="D35" s="5" t="str">
        <f t="shared" si="0"/>
        <v>Watch</v>
      </c>
      <c r="E35" s="8" t="s">
        <v>115</v>
      </c>
      <c r="F35" s="8">
        <v>100</v>
      </c>
      <c r="G35" s="8">
        <v>20</v>
      </c>
      <c r="H35" s="8" t="s">
        <v>75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FD60-1EE6-4F35-9893-19FC47CF57F6}">
  <sheetPr>
    <outlinePr summaryBelow="0" summaryRight="0"/>
  </sheetPr>
  <dimension ref="A1:P1000"/>
  <sheetViews>
    <sheetView workbookViewId="0">
      <selection activeCell="H5" sqref="H5"/>
    </sheetView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61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16" t="s">
        <v>96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15" t="s">
        <v>118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>
        <v>309.35399999999998</v>
      </c>
      <c r="E7" s="8">
        <v>45</v>
      </c>
      <c r="F7" s="16" t="s">
        <v>28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16" t="s">
        <v>118</v>
      </c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15" t="s">
        <v>118</v>
      </c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16" t="s">
        <v>28</v>
      </c>
    </row>
    <row r="16" spans="1:16" ht="15.75" customHeight="1" x14ac:dyDescent="0.25">
      <c r="A16" s="5" t="s">
        <v>69</v>
      </c>
      <c r="B16" s="15" t="s">
        <v>44</v>
      </c>
      <c r="C16" s="5" t="s">
        <v>71</v>
      </c>
      <c r="D16" s="5">
        <v>250</v>
      </c>
      <c r="E16" s="5">
        <v>20</v>
      </c>
      <c r="F16" s="15" t="s">
        <v>28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15" t="s">
        <v>28</v>
      </c>
    </row>
    <row r="19" spans="1:6" ht="15.75" customHeight="1" x14ac:dyDescent="0.25">
      <c r="A19" s="8" t="s">
        <v>78</v>
      </c>
      <c r="B19" s="8" t="s">
        <v>61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>
        <v>309.35399999999998</v>
      </c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15" t="s">
        <v>118</v>
      </c>
    </row>
    <row r="25" spans="1:6" ht="15.75" customHeight="1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ht="15.75" customHeight="1" x14ac:dyDescent="0.25">
      <c r="A26" s="8" t="s">
        <v>98</v>
      </c>
      <c r="B26" s="8" t="s">
        <v>81</v>
      </c>
      <c r="C26" s="8" t="s">
        <v>99</v>
      </c>
      <c r="D26" s="8">
        <v>309.35399999999998</v>
      </c>
      <c r="E26" s="8">
        <v>25</v>
      </c>
      <c r="F26" s="8" t="s">
        <v>32</v>
      </c>
    </row>
    <row r="27" spans="1:6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ht="15.75" customHeight="1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3DB6-715B-4D26-8B9C-175741531354}">
  <sheetPr>
    <outlinePr summaryBelow="0" summaryRight="0"/>
  </sheetPr>
  <dimension ref="A1:S1000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12.6328125" customWidth="1"/>
    <col min="2" max="2" width="19.1796875" style="21" customWidth="1"/>
    <col min="3" max="3" width="15.08984375" style="21" customWidth="1"/>
    <col min="4" max="5" width="12.6328125" customWidth="1"/>
    <col min="6" max="6" width="23.26953125" style="21" customWidth="1"/>
    <col min="7" max="9" width="12.6328125" customWidth="1"/>
  </cols>
  <sheetData>
    <row r="1" spans="1:19" ht="15.75" customHeight="1" x14ac:dyDescent="0.3">
      <c r="A1" s="7" t="s">
        <v>19</v>
      </c>
      <c r="B1" s="10" t="s">
        <v>121</v>
      </c>
      <c r="C1" s="10" t="s">
        <v>122</v>
      </c>
      <c r="D1" s="7" t="s">
        <v>20</v>
      </c>
      <c r="E1" s="7" t="s">
        <v>21</v>
      </c>
      <c r="F1" s="10" t="s">
        <v>123</v>
      </c>
      <c r="G1" s="7" t="s">
        <v>22</v>
      </c>
      <c r="H1" s="7" t="s">
        <v>23</v>
      </c>
      <c r="I1" s="7" t="s">
        <v>24</v>
      </c>
    </row>
    <row r="2" spans="1:19" ht="15.75" customHeight="1" x14ac:dyDescent="0.25">
      <c r="A2" s="5" t="s">
        <v>25</v>
      </c>
      <c r="B2" s="20" t="str">
        <f>LEFT(A2,LEN(A2)-3)</f>
        <v>28-JAN</v>
      </c>
      <c r="C2" s="20" t="str">
        <f>RIGHT(A2,2)</f>
        <v>US</v>
      </c>
      <c r="D2" s="5" t="s">
        <v>61</v>
      </c>
      <c r="E2" s="5" t="s">
        <v>27</v>
      </c>
      <c r="F2" s="23" t="str">
        <f>_xlfn.CONCAT('4) Splitting and Merging Data'!D2," ",'4) Splitting and Merging Data'!E2)</f>
        <v>Laptop Dell</v>
      </c>
      <c r="G2" s="5">
        <v>1000</v>
      </c>
      <c r="H2" s="5">
        <v>30</v>
      </c>
      <c r="I2" s="5" t="s">
        <v>28</v>
      </c>
    </row>
    <row r="3" spans="1:19" ht="15.75" customHeight="1" x14ac:dyDescent="0.3">
      <c r="A3" s="8" t="s">
        <v>29</v>
      </c>
      <c r="B3" s="20" t="str">
        <f t="shared" ref="B3:B32" si="0">LEFT(A3,LEN(A3)-3)</f>
        <v>15-FEB</v>
      </c>
      <c r="C3" s="20" t="str">
        <f t="shared" ref="C3:C32" si="1">RIGHT(A3,2)</f>
        <v>US</v>
      </c>
      <c r="D3" s="8" t="s">
        <v>30</v>
      </c>
      <c r="E3" s="8" t="s">
        <v>31</v>
      </c>
      <c r="F3" s="23" t="str">
        <f>_xlfn.CONCAT('4) Splitting and Merging Data'!D3," ",'4) Splitting and Merging Data'!E3)</f>
        <v>Sneakers Nike</v>
      </c>
      <c r="G3" s="8">
        <v>80</v>
      </c>
      <c r="H3" s="8">
        <v>15</v>
      </c>
      <c r="I3" s="8" t="s">
        <v>32</v>
      </c>
      <c r="L3" s="2"/>
      <c r="M3" s="5"/>
      <c r="N3" s="5"/>
      <c r="O3" s="5"/>
      <c r="P3" s="5"/>
      <c r="Q3" s="5"/>
      <c r="R3" s="5"/>
      <c r="S3" s="5"/>
    </row>
    <row r="4" spans="1:19" ht="15.75" customHeight="1" x14ac:dyDescent="0.35">
      <c r="A4" s="5" t="s">
        <v>33</v>
      </c>
      <c r="B4" s="20" t="str">
        <f t="shared" si="0"/>
        <v>03-MAR</v>
      </c>
      <c r="C4" s="20" t="str">
        <f t="shared" si="1"/>
        <v>US</v>
      </c>
      <c r="D4" s="5" t="s">
        <v>34</v>
      </c>
      <c r="E4" s="5" t="s">
        <v>35</v>
      </c>
      <c r="F4" s="23" t="str">
        <f>_xlfn.CONCAT('4) Splitting and Merging Data'!D4," ",'4) Splitting and Merging Data'!E4)</f>
        <v>Coffee Maker Keurig</v>
      </c>
      <c r="G4" s="5">
        <v>130</v>
      </c>
      <c r="H4" s="5">
        <v>40</v>
      </c>
      <c r="I4" s="5" t="s">
        <v>36</v>
      </c>
      <c r="L4" s="5"/>
      <c r="M4" s="3"/>
      <c r="N4" s="5"/>
      <c r="O4" s="5"/>
      <c r="P4" s="5"/>
      <c r="Q4" s="5"/>
      <c r="R4" s="5"/>
      <c r="S4" s="5"/>
    </row>
    <row r="5" spans="1:19" ht="15.75" customHeight="1" x14ac:dyDescent="0.35">
      <c r="A5" s="8" t="s">
        <v>37</v>
      </c>
      <c r="B5" s="20" t="str">
        <f t="shared" si="0"/>
        <v>11-APR</v>
      </c>
      <c r="C5" s="20" t="str">
        <f t="shared" si="1"/>
        <v>US</v>
      </c>
      <c r="D5" s="16" t="s">
        <v>96</v>
      </c>
      <c r="E5" s="8" t="s">
        <v>39</v>
      </c>
      <c r="F5" s="23" t="str">
        <f>_xlfn.CONCAT('4) Splitting and Merging Data'!D5," ",'4) Splitting and Merging Data'!E5)</f>
        <v>Smartphone Samsung</v>
      </c>
      <c r="G5" s="8">
        <v>900</v>
      </c>
      <c r="H5" s="8">
        <v>25</v>
      </c>
      <c r="I5" s="8" t="s">
        <v>28</v>
      </c>
      <c r="L5" s="5"/>
      <c r="M5" s="3"/>
      <c r="N5" s="5"/>
      <c r="O5" s="5"/>
      <c r="P5" s="5"/>
      <c r="Q5" s="5"/>
      <c r="R5" s="5"/>
      <c r="S5" s="5"/>
    </row>
    <row r="6" spans="1:19" ht="15.75" customHeight="1" x14ac:dyDescent="0.25">
      <c r="A6" s="5" t="s">
        <v>40</v>
      </c>
      <c r="B6" s="20" t="str">
        <f t="shared" si="0"/>
        <v>22-MAY</v>
      </c>
      <c r="C6" s="20" t="str">
        <f t="shared" si="1"/>
        <v>US</v>
      </c>
      <c r="D6" s="5" t="s">
        <v>41</v>
      </c>
      <c r="E6" s="5" t="s">
        <v>42</v>
      </c>
      <c r="F6" s="23" t="str">
        <f>_xlfn.CONCAT('4) Splitting and Merging Data'!D6," ",'4) Splitting and Merging Data'!E6)</f>
        <v>Backpack North Face</v>
      </c>
      <c r="G6" s="5">
        <v>70</v>
      </c>
      <c r="H6" s="5">
        <v>20</v>
      </c>
      <c r="I6" s="15" t="s">
        <v>118</v>
      </c>
    </row>
    <row r="7" spans="1:19" ht="15.75" customHeight="1" x14ac:dyDescent="0.25">
      <c r="A7" s="8" t="s">
        <v>43</v>
      </c>
      <c r="B7" s="20" t="str">
        <f t="shared" si="0"/>
        <v>07-JUN</v>
      </c>
      <c r="C7" s="20" t="str">
        <f t="shared" si="1"/>
        <v>UK</v>
      </c>
      <c r="D7" s="8" t="s">
        <v>44</v>
      </c>
      <c r="E7" s="8" t="s">
        <v>45</v>
      </c>
      <c r="F7" s="23" t="str">
        <f>_xlfn.CONCAT('4) Splitting and Merging Data'!D7," ",'4) Splitting and Merging Data'!E7)</f>
        <v>Headphones Sony</v>
      </c>
      <c r="G7" s="8">
        <v>309.35399999999998</v>
      </c>
      <c r="H7" s="8">
        <v>45</v>
      </c>
      <c r="I7" s="16" t="s">
        <v>28</v>
      </c>
    </row>
    <row r="8" spans="1:19" ht="15.75" customHeight="1" x14ac:dyDescent="0.25">
      <c r="A8" s="5" t="s">
        <v>47</v>
      </c>
      <c r="B8" s="20" t="str">
        <f t="shared" si="0"/>
        <v>19-JUL</v>
      </c>
      <c r="C8" s="20" t="str">
        <f t="shared" si="1"/>
        <v>UK</v>
      </c>
      <c r="D8" s="5" t="s">
        <v>48</v>
      </c>
      <c r="E8" s="5" t="s">
        <v>49</v>
      </c>
      <c r="F8" s="23" t="str">
        <f>_xlfn.CONCAT('4) Splitting and Merging Data'!D8," ",'4) Splitting and Merging Data'!E8)</f>
        <v>T-shirt Adidas</v>
      </c>
      <c r="G8" s="5">
        <v>30</v>
      </c>
      <c r="H8" s="5">
        <v>5</v>
      </c>
      <c r="I8" s="5" t="s">
        <v>32</v>
      </c>
    </row>
    <row r="9" spans="1:19" ht="15.75" customHeight="1" x14ac:dyDescent="0.25">
      <c r="A9" s="8" t="s">
        <v>50</v>
      </c>
      <c r="B9" s="20" t="str">
        <f t="shared" si="0"/>
        <v>23-AUG</v>
      </c>
      <c r="C9" s="20" t="str">
        <f t="shared" si="1"/>
        <v>UK</v>
      </c>
      <c r="D9" s="8" t="s">
        <v>51</v>
      </c>
      <c r="E9" s="8" t="s">
        <v>52</v>
      </c>
      <c r="F9" s="23" t="str">
        <f>_xlfn.CONCAT('4) Splitting and Merging Data'!D9," ",'4) Splitting and Merging Data'!E9)</f>
        <v>Blender Ninja</v>
      </c>
      <c r="G9" s="8">
        <v>90</v>
      </c>
      <c r="H9" s="8">
        <v>35</v>
      </c>
      <c r="I9" s="8" t="s">
        <v>36</v>
      </c>
    </row>
    <row r="10" spans="1:19" ht="15.75" customHeight="1" x14ac:dyDescent="0.25">
      <c r="A10" s="5" t="s">
        <v>53</v>
      </c>
      <c r="B10" s="20" t="str">
        <f t="shared" si="0"/>
        <v>05-SEP</v>
      </c>
      <c r="C10" s="20" t="str">
        <f t="shared" si="1"/>
        <v>UK</v>
      </c>
      <c r="D10" s="5" t="s">
        <v>54</v>
      </c>
      <c r="E10" s="5" t="s">
        <v>55</v>
      </c>
      <c r="F10" s="23" t="str">
        <f>_xlfn.CONCAT('4) Splitting and Merging Data'!D10," ",'4) Splitting and Merging Data'!E10)</f>
        <v>Tablet Apple</v>
      </c>
      <c r="G10" s="5">
        <v>500</v>
      </c>
      <c r="H10" s="5">
        <v>50</v>
      </c>
      <c r="I10" s="5" t="s">
        <v>28</v>
      </c>
    </row>
    <row r="11" spans="1:19" ht="15.75" customHeight="1" x14ac:dyDescent="0.25">
      <c r="A11" s="8" t="s">
        <v>56</v>
      </c>
      <c r="B11" s="20" t="str">
        <f t="shared" si="0"/>
        <v>14-OCT</v>
      </c>
      <c r="C11" s="20" t="str">
        <f t="shared" si="1"/>
        <v>UK</v>
      </c>
      <c r="D11" s="8" t="s">
        <v>57</v>
      </c>
      <c r="E11" s="8" t="s">
        <v>58</v>
      </c>
      <c r="F11" s="23" t="str">
        <f>_xlfn.CONCAT('4) Splitting and Merging Data'!D11," ",'4) Splitting and Merging Data'!E11)</f>
        <v>Hiking Boots Timberland</v>
      </c>
      <c r="G11" s="8">
        <v>130</v>
      </c>
      <c r="H11" s="8">
        <v>10</v>
      </c>
      <c r="I11" s="8" t="s">
        <v>59</v>
      </c>
    </row>
    <row r="12" spans="1:19" ht="15.75" customHeight="1" x14ac:dyDescent="0.25">
      <c r="A12" s="5" t="s">
        <v>60</v>
      </c>
      <c r="B12" s="20" t="str">
        <f t="shared" si="0"/>
        <v>17-JUN</v>
      </c>
      <c r="C12" s="20" t="str">
        <f t="shared" si="1"/>
        <v>IN</v>
      </c>
      <c r="D12" s="5" t="s">
        <v>61</v>
      </c>
      <c r="E12" s="5" t="s">
        <v>62</v>
      </c>
      <c r="F12" s="23" t="str">
        <f>_xlfn.CONCAT('4) Splitting and Merging Data'!D12," ",'4) Splitting and Merging Data'!E12)</f>
        <v>Laptop HP</v>
      </c>
      <c r="G12" s="5">
        <v>950</v>
      </c>
      <c r="H12" s="5">
        <v>25</v>
      </c>
      <c r="I12" s="5" t="s">
        <v>28</v>
      </c>
    </row>
    <row r="13" spans="1:19" ht="15.75" customHeight="1" x14ac:dyDescent="0.25">
      <c r="A13" s="8" t="s">
        <v>63</v>
      </c>
      <c r="B13" s="20" t="str">
        <f t="shared" si="0"/>
        <v>25-NOV</v>
      </c>
      <c r="C13" s="20" t="str">
        <f t="shared" si="1"/>
        <v>AU</v>
      </c>
      <c r="D13" s="8" t="s">
        <v>30</v>
      </c>
      <c r="E13" s="8" t="s">
        <v>49</v>
      </c>
      <c r="F13" s="23" t="str">
        <f>_xlfn.CONCAT('4) Splitting and Merging Data'!D13," ",'4) Splitting and Merging Data'!E13)</f>
        <v>Sneakers Adidas</v>
      </c>
      <c r="G13" s="8">
        <v>90</v>
      </c>
      <c r="H13" s="8">
        <v>40</v>
      </c>
      <c r="I13" s="16" t="s">
        <v>118</v>
      </c>
    </row>
    <row r="14" spans="1:19" ht="15.75" customHeight="1" x14ac:dyDescent="0.25">
      <c r="A14" s="5" t="s">
        <v>64</v>
      </c>
      <c r="B14" s="20" t="str">
        <f t="shared" si="0"/>
        <v>08-DEC</v>
      </c>
      <c r="C14" s="20" t="str">
        <f t="shared" si="1"/>
        <v>DE</v>
      </c>
      <c r="D14" s="5" t="s">
        <v>34</v>
      </c>
      <c r="E14" s="5" t="s">
        <v>65</v>
      </c>
      <c r="F14" s="23" t="str">
        <f>_xlfn.CONCAT('4) Splitting and Merging Data'!D14," ",'4) Splitting and Merging Data'!E14)</f>
        <v>Coffee Maker Nespresso</v>
      </c>
      <c r="G14" s="5">
        <v>120</v>
      </c>
      <c r="H14" s="5">
        <v>35</v>
      </c>
      <c r="I14" s="15" t="s">
        <v>118</v>
      </c>
    </row>
    <row r="15" spans="1:19" ht="15.75" customHeight="1" x14ac:dyDescent="0.25">
      <c r="A15" s="8" t="s">
        <v>66</v>
      </c>
      <c r="B15" s="20" t="str">
        <f t="shared" si="0"/>
        <v>18-FEB</v>
      </c>
      <c r="C15" s="20" t="str">
        <f t="shared" si="1"/>
        <v>CA</v>
      </c>
      <c r="D15" s="8" t="s">
        <v>67</v>
      </c>
      <c r="E15" s="8" t="s">
        <v>68</v>
      </c>
      <c r="F15" s="23" t="str">
        <f>_xlfn.CONCAT('4) Splitting and Merging Data'!D15," ",'4) Splitting and Merging Data'!E15)</f>
        <v>Smartwatch Fitbit</v>
      </c>
      <c r="G15" s="8">
        <v>150</v>
      </c>
      <c r="H15" s="8">
        <v>15</v>
      </c>
      <c r="I15" s="16" t="s">
        <v>28</v>
      </c>
    </row>
    <row r="16" spans="1:19" ht="15.75" customHeight="1" x14ac:dyDescent="0.25">
      <c r="A16" s="5" t="s">
        <v>69</v>
      </c>
      <c r="B16" s="20" t="str">
        <f t="shared" si="0"/>
        <v>16-APR</v>
      </c>
      <c r="C16" s="20" t="str">
        <f t="shared" si="1"/>
        <v>ES</v>
      </c>
      <c r="D16" s="15" t="s">
        <v>44</v>
      </c>
      <c r="E16" s="5" t="s">
        <v>71</v>
      </c>
      <c r="F16" s="23" t="str">
        <f>_xlfn.CONCAT('4) Splitting and Merging Data'!D16," ",'4) Splitting and Merging Data'!E16)</f>
        <v>Headphones Bose</v>
      </c>
      <c r="G16" s="5">
        <v>250</v>
      </c>
      <c r="H16" s="5">
        <v>20</v>
      </c>
      <c r="I16" s="15" t="s">
        <v>28</v>
      </c>
    </row>
    <row r="17" spans="1:9" ht="15.75" customHeight="1" x14ac:dyDescent="0.25">
      <c r="A17" s="8" t="s">
        <v>72</v>
      </c>
      <c r="B17" s="20" t="str">
        <f t="shared" si="0"/>
        <v>21-AUG</v>
      </c>
      <c r="C17" s="20" t="str">
        <f t="shared" si="1"/>
        <v>CA</v>
      </c>
      <c r="D17" s="8" t="s">
        <v>73</v>
      </c>
      <c r="E17" s="8" t="s">
        <v>74</v>
      </c>
      <c r="F17" s="23" t="str">
        <f>_xlfn.CONCAT('4) Splitting and Merging Data'!D17," ",'4) Splitting and Merging Data'!E17)</f>
        <v>Laptop Bag Samsonite</v>
      </c>
      <c r="G17" s="8">
        <v>50</v>
      </c>
      <c r="H17" s="8">
        <v>35</v>
      </c>
      <c r="I17" s="8" t="s">
        <v>75</v>
      </c>
    </row>
    <row r="18" spans="1:9" ht="15.75" customHeight="1" x14ac:dyDescent="0.25">
      <c r="A18" s="5" t="s">
        <v>76</v>
      </c>
      <c r="B18" s="20" t="str">
        <f t="shared" si="0"/>
        <v>20-AUG</v>
      </c>
      <c r="C18" s="20" t="str">
        <f t="shared" si="1"/>
        <v>CN</v>
      </c>
      <c r="D18" s="5" t="s">
        <v>67</v>
      </c>
      <c r="E18" s="5" t="s">
        <v>77</v>
      </c>
      <c r="F18" s="23" t="str">
        <f>_xlfn.CONCAT('4) Splitting and Merging Data'!D18," ",'4) Splitting and Merging Data'!E18)</f>
        <v>Smartwatch Huawei</v>
      </c>
      <c r="G18" s="5">
        <v>160</v>
      </c>
      <c r="H18" s="5">
        <v>15</v>
      </c>
      <c r="I18" s="15" t="s">
        <v>28</v>
      </c>
    </row>
    <row r="19" spans="1:9" ht="15.75" customHeight="1" x14ac:dyDescent="0.25">
      <c r="A19" s="8" t="s">
        <v>78</v>
      </c>
      <c r="B19" s="20" t="str">
        <f t="shared" si="0"/>
        <v>27-JAN</v>
      </c>
      <c r="C19" s="20" t="str">
        <f t="shared" si="1"/>
        <v>IT</v>
      </c>
      <c r="D19" s="8" t="s">
        <v>61</v>
      </c>
      <c r="E19" s="8" t="s">
        <v>79</v>
      </c>
      <c r="F19" s="23" t="str">
        <f>_xlfn.CONCAT('4) Splitting and Merging Data'!D19," ",'4) Splitting and Merging Data'!E19)</f>
        <v>Laptop Asus</v>
      </c>
      <c r="G19" s="8">
        <v>980</v>
      </c>
      <c r="H19" s="8">
        <v>10</v>
      </c>
      <c r="I19" s="8" t="s">
        <v>28</v>
      </c>
    </row>
    <row r="20" spans="1:9" ht="15.75" customHeight="1" x14ac:dyDescent="0.25">
      <c r="A20" s="5" t="s">
        <v>80</v>
      </c>
      <c r="B20" s="20" t="str">
        <f t="shared" si="0"/>
        <v>01-MAR</v>
      </c>
      <c r="C20" s="20" t="str">
        <f t="shared" si="1"/>
        <v>UK</v>
      </c>
      <c r="D20" s="5" t="s">
        <v>81</v>
      </c>
      <c r="E20" s="5" t="s">
        <v>82</v>
      </c>
      <c r="F20" s="23" t="str">
        <f>_xlfn.CONCAT('4) Splitting and Merging Data'!D20," ",'4) Splitting and Merging Data'!E20)</f>
        <v>Sunglasses Oakley</v>
      </c>
      <c r="G20" s="5">
        <v>150</v>
      </c>
      <c r="H20" s="5">
        <v>15</v>
      </c>
      <c r="I20" s="5" t="s">
        <v>32</v>
      </c>
    </row>
    <row r="21" spans="1:9" ht="15.75" customHeight="1" x14ac:dyDescent="0.25">
      <c r="A21" s="8" t="s">
        <v>83</v>
      </c>
      <c r="B21" s="20" t="str">
        <f t="shared" si="0"/>
        <v>14-AUG</v>
      </c>
      <c r="C21" s="20" t="str">
        <f t="shared" si="1"/>
        <v>US</v>
      </c>
      <c r="D21" s="8" t="s">
        <v>84</v>
      </c>
      <c r="E21" s="8" t="s">
        <v>85</v>
      </c>
      <c r="F21" s="23" t="str">
        <f>_xlfn.CONCAT('4) Splitting and Merging Data'!D21," ",'4) Splitting and Merging Data'!E21)</f>
        <v>Camping Tent Coleman</v>
      </c>
      <c r="G21" s="8">
        <v>309.35399999999998</v>
      </c>
      <c r="H21" s="8">
        <v>10</v>
      </c>
      <c r="I21" s="8" t="s">
        <v>59</v>
      </c>
    </row>
    <row r="22" spans="1:9" ht="15.75" customHeight="1" x14ac:dyDescent="0.25">
      <c r="A22" s="5" t="s">
        <v>86</v>
      </c>
      <c r="B22" s="20" t="str">
        <f t="shared" si="0"/>
        <v>14-MAY</v>
      </c>
      <c r="C22" s="20" t="str">
        <f t="shared" si="1"/>
        <v>RU</v>
      </c>
      <c r="D22" s="5" t="s">
        <v>87</v>
      </c>
      <c r="E22" s="5" t="s">
        <v>88</v>
      </c>
      <c r="F22" s="23" t="str">
        <f>_xlfn.CONCAT('4) Splitting and Merging Data'!D22," ",'4) Splitting and Merging Data'!E22)</f>
        <v>Camera Nikon</v>
      </c>
      <c r="G22" s="5">
        <v>700</v>
      </c>
      <c r="H22" s="5">
        <v>50</v>
      </c>
      <c r="I22" s="5" t="s">
        <v>28</v>
      </c>
    </row>
    <row r="23" spans="1:9" ht="15.75" customHeight="1" x14ac:dyDescent="0.25">
      <c r="A23" s="8" t="s">
        <v>89</v>
      </c>
      <c r="B23" s="20" t="str">
        <f t="shared" si="0"/>
        <v>09-JAN</v>
      </c>
      <c r="C23" s="20" t="str">
        <f t="shared" si="1"/>
        <v>CA</v>
      </c>
      <c r="D23" s="8" t="s">
        <v>90</v>
      </c>
      <c r="E23" s="8" t="s">
        <v>91</v>
      </c>
      <c r="F23" s="23" t="str">
        <f>_xlfn.CONCAT('4) Splitting and Merging Data'!D23," ",'4) Splitting and Merging Data'!E23)</f>
        <v>Microwave Panasonic</v>
      </c>
      <c r="G23" s="8">
        <v>80</v>
      </c>
      <c r="H23" s="8">
        <v>20</v>
      </c>
      <c r="I23" s="8" t="s">
        <v>36</v>
      </c>
    </row>
    <row r="24" spans="1:9" ht="15.75" customHeight="1" x14ac:dyDescent="0.25">
      <c r="A24" s="5" t="s">
        <v>92</v>
      </c>
      <c r="B24" s="20" t="str">
        <f t="shared" si="0"/>
        <v>19-JUL</v>
      </c>
      <c r="C24" s="20" t="str">
        <f t="shared" si="1"/>
        <v>BR</v>
      </c>
      <c r="D24" s="5" t="s">
        <v>93</v>
      </c>
      <c r="E24" s="5" t="s">
        <v>94</v>
      </c>
      <c r="F24" s="23" t="str">
        <f>_xlfn.CONCAT('4) Splitting and Merging Data'!D24," ",'4) Splitting and Merging Data'!E24)</f>
        <v>Fitness Tracker Xiaomi</v>
      </c>
      <c r="G24" s="5">
        <v>150</v>
      </c>
      <c r="H24" s="5">
        <v>30</v>
      </c>
      <c r="I24" s="15" t="s">
        <v>118</v>
      </c>
    </row>
    <row r="25" spans="1:9" ht="15.75" customHeight="1" x14ac:dyDescent="0.25">
      <c r="A25" s="5" t="s">
        <v>95</v>
      </c>
      <c r="B25" s="20" t="str">
        <f t="shared" si="0"/>
        <v>29-SEP</v>
      </c>
      <c r="C25" s="20" t="str">
        <f t="shared" si="1"/>
        <v>CA</v>
      </c>
      <c r="D25" s="5" t="s">
        <v>96</v>
      </c>
      <c r="E25" s="5" t="s">
        <v>97</v>
      </c>
      <c r="F25" s="23" t="str">
        <f>_xlfn.CONCAT('4) Splitting and Merging Data'!D25," ",'4) Splitting and Merging Data'!E25)</f>
        <v>Smartphone Google</v>
      </c>
      <c r="G25" s="5">
        <v>800</v>
      </c>
      <c r="H25" s="5">
        <v>45</v>
      </c>
      <c r="I25" s="5" t="s">
        <v>28</v>
      </c>
    </row>
    <row r="26" spans="1:9" ht="15.75" customHeight="1" x14ac:dyDescent="0.25">
      <c r="A26" s="8" t="s">
        <v>98</v>
      </c>
      <c r="B26" s="20" t="str">
        <f t="shared" si="0"/>
        <v>03-JUN</v>
      </c>
      <c r="C26" s="20" t="str">
        <f t="shared" si="1"/>
        <v>CA</v>
      </c>
      <c r="D26" s="8" t="s">
        <v>81</v>
      </c>
      <c r="E26" s="8" t="s">
        <v>99</v>
      </c>
      <c r="F26" s="23" t="str">
        <f>_xlfn.CONCAT('4) Splitting and Merging Data'!D26," ",'4) Splitting and Merging Data'!E26)</f>
        <v>Sunglasses Ray-Ban</v>
      </c>
      <c r="G26" s="8">
        <v>309.35399999999998</v>
      </c>
      <c r="H26" s="8">
        <v>25</v>
      </c>
      <c r="I26" s="8" t="s">
        <v>32</v>
      </c>
    </row>
    <row r="27" spans="1:9" ht="15.75" customHeight="1" x14ac:dyDescent="0.25">
      <c r="A27" s="5" t="s">
        <v>100</v>
      </c>
      <c r="B27" s="20" t="str">
        <f t="shared" si="0"/>
        <v>11-JUL</v>
      </c>
      <c r="C27" s="20" t="str">
        <f t="shared" si="1"/>
        <v>CA</v>
      </c>
      <c r="D27" s="5" t="s">
        <v>51</v>
      </c>
      <c r="E27" s="5" t="s">
        <v>101</v>
      </c>
      <c r="F27" s="23" t="str">
        <f>_xlfn.CONCAT('4) Splitting and Merging Data'!D27," ",'4) Splitting and Merging Data'!E27)</f>
        <v>Blender Vitamix</v>
      </c>
      <c r="G27" s="5">
        <v>400</v>
      </c>
      <c r="H27" s="5">
        <v>40</v>
      </c>
      <c r="I27" s="5" t="s">
        <v>36</v>
      </c>
    </row>
    <row r="28" spans="1:9" ht="15.75" customHeight="1" x14ac:dyDescent="0.25">
      <c r="A28" s="5" t="s">
        <v>102</v>
      </c>
      <c r="B28" s="20" t="str">
        <f t="shared" si="0"/>
        <v>07-MAR</v>
      </c>
      <c r="C28" s="20" t="str">
        <f t="shared" si="1"/>
        <v>CA</v>
      </c>
      <c r="D28" s="5" t="s">
        <v>103</v>
      </c>
      <c r="E28" s="5" t="s">
        <v>104</v>
      </c>
      <c r="F28" s="23" t="str">
        <f>_xlfn.CONCAT('4) Splitting and Merging Data'!D28," ",'4) Splitting and Merging Data'!E28)</f>
        <v>Dress Zara</v>
      </c>
      <c r="G28" s="5">
        <v>60</v>
      </c>
      <c r="H28" s="5">
        <v>30</v>
      </c>
      <c r="I28" s="5" t="s">
        <v>32</v>
      </c>
    </row>
    <row r="29" spans="1:9" ht="15.75" customHeight="1" x14ac:dyDescent="0.25">
      <c r="A29" s="8" t="s">
        <v>105</v>
      </c>
      <c r="B29" s="20" t="str">
        <f t="shared" si="0"/>
        <v>13-APR</v>
      </c>
      <c r="C29" s="20" t="str">
        <f t="shared" si="1"/>
        <v>CA</v>
      </c>
      <c r="D29" s="8" t="s">
        <v>106</v>
      </c>
      <c r="E29" s="8" t="s">
        <v>107</v>
      </c>
      <c r="F29" s="23" t="str">
        <f>_xlfn.CONCAT('4) Splitting and Merging Data'!D29," ",'4) Splitting and Merging Data'!E29)</f>
        <v>Toaster Hamilton</v>
      </c>
      <c r="G29" s="8">
        <v>40</v>
      </c>
      <c r="H29" s="8">
        <v>10</v>
      </c>
      <c r="I29" s="8" t="s">
        <v>36</v>
      </c>
    </row>
    <row r="30" spans="1:9" ht="15.75" customHeight="1" x14ac:dyDescent="0.25">
      <c r="A30" s="5" t="s">
        <v>108</v>
      </c>
      <c r="B30" s="20" t="str">
        <f t="shared" si="0"/>
        <v>24-MAY</v>
      </c>
      <c r="C30" s="20" t="str">
        <f t="shared" si="1"/>
        <v>CA</v>
      </c>
      <c r="D30" s="5" t="s">
        <v>93</v>
      </c>
      <c r="E30" s="5" t="s">
        <v>109</v>
      </c>
      <c r="F30" s="23" t="str">
        <f>_xlfn.CONCAT('4) Splitting and Merging Data'!D30," ",'4) Splitting and Merging Data'!E30)</f>
        <v>Fitness Tracker Garmin</v>
      </c>
      <c r="G30" s="5">
        <v>130</v>
      </c>
      <c r="H30" s="5">
        <v>5</v>
      </c>
      <c r="I30" s="5" t="s">
        <v>28</v>
      </c>
    </row>
    <row r="31" spans="1:9" ht="15.75" customHeight="1" x14ac:dyDescent="0.25">
      <c r="A31" s="8" t="s">
        <v>110</v>
      </c>
      <c r="B31" s="20" t="str">
        <f t="shared" si="0"/>
        <v>02-DEC</v>
      </c>
      <c r="C31" s="20" t="str">
        <f t="shared" si="1"/>
        <v>CA</v>
      </c>
      <c r="D31" s="8" t="s">
        <v>111</v>
      </c>
      <c r="E31" s="8" t="s">
        <v>112</v>
      </c>
      <c r="F31" s="23" t="str">
        <f>_xlfn.CONCAT('4) Splitting and Merging Data'!D31," ",'4) Splitting and Merging Data'!E31)</f>
        <v>Jeans Levi's</v>
      </c>
      <c r="G31" s="8">
        <v>50</v>
      </c>
      <c r="H31" s="8">
        <v>50</v>
      </c>
      <c r="I31" s="8" t="s">
        <v>32</v>
      </c>
    </row>
    <row r="32" spans="1:9" ht="15.75" customHeight="1" x14ac:dyDescent="0.25">
      <c r="A32" s="8" t="s">
        <v>113</v>
      </c>
      <c r="B32" s="20" t="str">
        <f t="shared" si="0"/>
        <v>09-JUL</v>
      </c>
      <c r="C32" s="20" t="str">
        <f t="shared" si="1"/>
        <v>FR</v>
      </c>
      <c r="D32" s="8" t="s">
        <v>114</v>
      </c>
      <c r="E32" s="8" t="s">
        <v>115</v>
      </c>
      <c r="F32" s="23" t="str">
        <f>_xlfn.CONCAT('4) Splitting and Merging Data'!D32," ",'4) Splitting and Merging Data'!E32)</f>
        <v>Watch Casio</v>
      </c>
      <c r="G32" s="8">
        <v>100</v>
      </c>
      <c r="H32" s="8">
        <v>20</v>
      </c>
      <c r="I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16D3-B3C0-448C-8569-DF070B1A247F}">
  <sheetPr>
    <outlinePr summaryBelow="0" summaryRight="0"/>
  </sheetPr>
  <dimension ref="A1:R1000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12.6328125" customWidth="1"/>
    <col min="2" max="2" width="20.36328125" customWidth="1"/>
    <col min="3" max="3" width="15.08984375" style="21" customWidth="1"/>
    <col min="4" max="5" width="12.6328125" customWidth="1"/>
    <col min="6" max="6" width="23.26953125" style="21" customWidth="1"/>
    <col min="7" max="9" width="12.6328125" customWidth="1"/>
  </cols>
  <sheetData>
    <row r="1" spans="1:18" ht="15.75" customHeight="1" x14ac:dyDescent="0.3">
      <c r="A1" s="7" t="s">
        <v>19</v>
      </c>
      <c r="B1" s="10" t="s">
        <v>121</v>
      </c>
      <c r="C1" s="12" t="s">
        <v>122</v>
      </c>
      <c r="D1" s="7" t="s">
        <v>20</v>
      </c>
      <c r="E1" s="7" t="s">
        <v>21</v>
      </c>
      <c r="F1" s="12" t="s">
        <v>123</v>
      </c>
      <c r="G1" s="10" t="s">
        <v>22</v>
      </c>
      <c r="H1" s="7" t="s">
        <v>23</v>
      </c>
      <c r="I1" s="7" t="s">
        <v>24</v>
      </c>
    </row>
    <row r="2" spans="1:18" ht="15.75" customHeight="1" x14ac:dyDescent="0.25">
      <c r="A2" s="15" t="s">
        <v>25</v>
      </c>
      <c r="B2" s="27">
        <v>46050</v>
      </c>
      <c r="C2" s="20" t="str">
        <f>RIGHT(A2,2)</f>
        <v>US</v>
      </c>
      <c r="D2" s="5" t="s">
        <v>61</v>
      </c>
      <c r="E2" s="5" t="s">
        <v>27</v>
      </c>
      <c r="F2" s="23" t="str">
        <f>_xlfn.CONCAT('5) Number Formatting'!D2," ",'5) Number Formatting'!E2)</f>
        <v>Laptop Dell</v>
      </c>
      <c r="G2" s="24">
        <v>1000</v>
      </c>
      <c r="H2" s="5">
        <v>30</v>
      </c>
      <c r="I2" s="5" t="s">
        <v>28</v>
      </c>
    </row>
    <row r="3" spans="1:18" ht="15.75" customHeight="1" x14ac:dyDescent="0.3">
      <c r="A3" s="8" t="s">
        <v>29</v>
      </c>
      <c r="B3" s="27">
        <v>46068</v>
      </c>
      <c r="C3" s="20" t="str">
        <f t="shared" ref="C3:C32" si="0">RIGHT(A3,2)</f>
        <v>US</v>
      </c>
      <c r="D3" s="8" t="s">
        <v>30</v>
      </c>
      <c r="E3" s="8" t="s">
        <v>31</v>
      </c>
      <c r="F3" s="23" t="str">
        <f>_xlfn.CONCAT('5) Number Formatting'!D3," ",'5) Number Formatting'!E3)</f>
        <v>Sneakers Nike</v>
      </c>
      <c r="G3" s="25">
        <v>80</v>
      </c>
      <c r="H3" s="8">
        <v>15</v>
      </c>
      <c r="I3" s="8" t="s">
        <v>32</v>
      </c>
      <c r="J3" s="26"/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5">
      <c r="A4" s="5" t="s">
        <v>33</v>
      </c>
      <c r="B4" s="27">
        <v>46084</v>
      </c>
      <c r="C4" s="20" t="str">
        <f t="shared" si="0"/>
        <v>US</v>
      </c>
      <c r="D4" s="5" t="s">
        <v>34</v>
      </c>
      <c r="E4" s="5" t="s">
        <v>35</v>
      </c>
      <c r="F4" s="23" t="str">
        <f>_xlfn.CONCAT('5) Number Formatting'!D4," ",'5) Number Formatting'!E4)</f>
        <v>Coffee Maker Keurig</v>
      </c>
      <c r="G4" s="24">
        <v>130</v>
      </c>
      <c r="H4" s="5">
        <v>40</v>
      </c>
      <c r="I4" s="5" t="s">
        <v>36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5">
      <c r="A5" s="8" t="s">
        <v>37</v>
      </c>
      <c r="B5" s="27">
        <v>46123</v>
      </c>
      <c r="C5" s="20" t="str">
        <f t="shared" si="0"/>
        <v>US</v>
      </c>
      <c r="D5" s="16" t="s">
        <v>96</v>
      </c>
      <c r="E5" s="8" t="s">
        <v>39</v>
      </c>
      <c r="F5" s="23" t="str">
        <f>_xlfn.CONCAT('5) Number Formatting'!D5," ",'5) Number Formatting'!E5)</f>
        <v>Smartphone Samsung</v>
      </c>
      <c r="G5" s="25">
        <v>900</v>
      </c>
      <c r="H5" s="8">
        <v>25</v>
      </c>
      <c r="I5" s="8" t="s">
        <v>28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40</v>
      </c>
      <c r="B6" s="27">
        <v>46164</v>
      </c>
      <c r="C6" s="20" t="str">
        <f t="shared" si="0"/>
        <v>US</v>
      </c>
      <c r="D6" s="5" t="s">
        <v>41</v>
      </c>
      <c r="E6" s="5" t="s">
        <v>42</v>
      </c>
      <c r="F6" s="23" t="str">
        <f>_xlfn.CONCAT('5) Number Formatting'!D6," ",'5) Number Formatting'!E6)</f>
        <v>Backpack North Face</v>
      </c>
      <c r="G6" s="24">
        <v>70</v>
      </c>
      <c r="H6" s="5">
        <v>20</v>
      </c>
      <c r="I6" s="15" t="s">
        <v>118</v>
      </c>
    </row>
    <row r="7" spans="1:18" ht="15.75" customHeight="1" x14ac:dyDescent="0.25">
      <c r="A7" s="8" t="s">
        <v>43</v>
      </c>
      <c r="B7" s="27">
        <v>46180</v>
      </c>
      <c r="C7" s="20" t="str">
        <f t="shared" si="0"/>
        <v>UK</v>
      </c>
      <c r="D7" s="8" t="s">
        <v>44</v>
      </c>
      <c r="E7" s="8" t="s">
        <v>45</v>
      </c>
      <c r="F7" s="23" t="str">
        <f>_xlfn.CONCAT('5) Number Formatting'!D7," ",'5) Number Formatting'!E7)</f>
        <v>Headphones Sony</v>
      </c>
      <c r="G7" s="25">
        <v>309.35399999999998</v>
      </c>
      <c r="H7" s="8">
        <v>45</v>
      </c>
      <c r="I7" s="16" t="s">
        <v>28</v>
      </c>
    </row>
    <row r="8" spans="1:18" ht="15.75" customHeight="1" x14ac:dyDescent="0.25">
      <c r="A8" s="5" t="s">
        <v>47</v>
      </c>
      <c r="B8" s="27">
        <v>46222</v>
      </c>
      <c r="C8" s="20" t="str">
        <f t="shared" si="0"/>
        <v>UK</v>
      </c>
      <c r="D8" s="5" t="s">
        <v>48</v>
      </c>
      <c r="E8" s="5" t="s">
        <v>49</v>
      </c>
      <c r="F8" s="23" t="str">
        <f>_xlfn.CONCAT('5) Number Formatting'!D8," ",'5) Number Formatting'!E8)</f>
        <v>T-shirt Adidas</v>
      </c>
      <c r="G8" s="24">
        <v>30</v>
      </c>
      <c r="H8" s="5">
        <v>5</v>
      </c>
      <c r="I8" s="5" t="s">
        <v>32</v>
      </c>
    </row>
    <row r="9" spans="1:18" ht="15.75" customHeight="1" x14ac:dyDescent="0.25">
      <c r="A9" s="8" t="s">
        <v>50</v>
      </c>
      <c r="B9" s="27">
        <v>46257</v>
      </c>
      <c r="C9" s="20" t="str">
        <f t="shared" si="0"/>
        <v>UK</v>
      </c>
      <c r="D9" s="8" t="s">
        <v>51</v>
      </c>
      <c r="E9" s="8" t="s">
        <v>52</v>
      </c>
      <c r="F9" s="23" t="str">
        <f>_xlfn.CONCAT('5) Number Formatting'!D9," ",'5) Number Formatting'!E9)</f>
        <v>Blender Ninja</v>
      </c>
      <c r="G9" s="25">
        <v>90</v>
      </c>
      <c r="H9" s="8">
        <v>35</v>
      </c>
      <c r="I9" s="8" t="s">
        <v>36</v>
      </c>
    </row>
    <row r="10" spans="1:18" ht="15.75" customHeight="1" x14ac:dyDescent="0.25">
      <c r="A10" s="5" t="s">
        <v>53</v>
      </c>
      <c r="B10" s="27">
        <v>46270</v>
      </c>
      <c r="C10" s="20" t="str">
        <f t="shared" si="0"/>
        <v>UK</v>
      </c>
      <c r="D10" s="5" t="s">
        <v>54</v>
      </c>
      <c r="E10" s="5" t="s">
        <v>55</v>
      </c>
      <c r="F10" s="23" t="str">
        <f>_xlfn.CONCAT('5) Number Formatting'!D10," ",'5) Number Formatting'!E10)</f>
        <v>Tablet Apple</v>
      </c>
      <c r="G10" s="24">
        <v>500</v>
      </c>
      <c r="H10" s="5">
        <v>50</v>
      </c>
      <c r="I10" s="5" t="s">
        <v>28</v>
      </c>
    </row>
    <row r="11" spans="1:18" ht="15.75" customHeight="1" x14ac:dyDescent="0.25">
      <c r="A11" s="8" t="s">
        <v>56</v>
      </c>
      <c r="B11" s="27">
        <v>46309</v>
      </c>
      <c r="C11" s="20" t="str">
        <f t="shared" si="0"/>
        <v>UK</v>
      </c>
      <c r="D11" s="8" t="s">
        <v>57</v>
      </c>
      <c r="E11" s="8" t="s">
        <v>58</v>
      </c>
      <c r="F11" s="23" t="str">
        <f>_xlfn.CONCAT('5) Number Formatting'!D11," ",'5) Number Formatting'!E11)</f>
        <v>Hiking Boots Timberland</v>
      </c>
      <c r="G11" s="25">
        <v>130</v>
      </c>
      <c r="H11" s="8">
        <v>10</v>
      </c>
      <c r="I11" s="8" t="s">
        <v>59</v>
      </c>
    </row>
    <row r="12" spans="1:18" ht="15.75" customHeight="1" x14ac:dyDescent="0.25">
      <c r="A12" s="5" t="s">
        <v>60</v>
      </c>
      <c r="B12" s="27">
        <v>46190</v>
      </c>
      <c r="C12" s="20" t="str">
        <f t="shared" si="0"/>
        <v>IN</v>
      </c>
      <c r="D12" s="5" t="s">
        <v>61</v>
      </c>
      <c r="E12" s="5" t="s">
        <v>62</v>
      </c>
      <c r="F12" s="23" t="str">
        <f>_xlfn.CONCAT('5) Number Formatting'!D12," ",'5) Number Formatting'!E12)</f>
        <v>Laptop HP</v>
      </c>
      <c r="G12" s="24">
        <v>950</v>
      </c>
      <c r="H12" s="5">
        <v>25</v>
      </c>
      <c r="I12" s="5" t="s">
        <v>28</v>
      </c>
    </row>
    <row r="13" spans="1:18" ht="15.75" customHeight="1" x14ac:dyDescent="0.25">
      <c r="A13" s="8" t="s">
        <v>63</v>
      </c>
      <c r="B13" s="27">
        <v>46351</v>
      </c>
      <c r="C13" s="20" t="str">
        <f t="shared" si="0"/>
        <v>AU</v>
      </c>
      <c r="D13" s="8" t="s">
        <v>30</v>
      </c>
      <c r="E13" s="8" t="s">
        <v>49</v>
      </c>
      <c r="F13" s="23" t="str">
        <f>_xlfn.CONCAT('5) Number Formatting'!D13," ",'5) Number Formatting'!E13)</f>
        <v>Sneakers Adidas</v>
      </c>
      <c r="G13" s="25">
        <v>90</v>
      </c>
      <c r="H13" s="8">
        <v>40</v>
      </c>
      <c r="I13" s="16" t="s">
        <v>118</v>
      </c>
    </row>
    <row r="14" spans="1:18" ht="15.75" customHeight="1" x14ac:dyDescent="0.25">
      <c r="A14" s="5" t="s">
        <v>64</v>
      </c>
      <c r="B14" s="27">
        <v>46364</v>
      </c>
      <c r="C14" s="20" t="str">
        <f t="shared" si="0"/>
        <v>DE</v>
      </c>
      <c r="D14" s="5" t="s">
        <v>34</v>
      </c>
      <c r="E14" s="5" t="s">
        <v>65</v>
      </c>
      <c r="F14" s="23" t="str">
        <f>_xlfn.CONCAT('5) Number Formatting'!D14," ",'5) Number Formatting'!E14)</f>
        <v>Coffee Maker Nespresso</v>
      </c>
      <c r="G14" s="24">
        <v>120</v>
      </c>
      <c r="H14" s="5">
        <v>35</v>
      </c>
      <c r="I14" s="15" t="s">
        <v>118</v>
      </c>
    </row>
    <row r="15" spans="1:18" ht="15.75" customHeight="1" x14ac:dyDescent="0.25">
      <c r="A15" s="8" t="s">
        <v>66</v>
      </c>
      <c r="B15" s="27">
        <v>46071</v>
      </c>
      <c r="C15" s="20" t="str">
        <f t="shared" si="0"/>
        <v>CA</v>
      </c>
      <c r="D15" s="8" t="s">
        <v>67</v>
      </c>
      <c r="E15" s="8" t="s">
        <v>68</v>
      </c>
      <c r="F15" s="23" t="str">
        <f>_xlfn.CONCAT('5) Number Formatting'!D15," ",'5) Number Formatting'!E15)</f>
        <v>Smartwatch Fitbit</v>
      </c>
      <c r="G15" s="25">
        <v>150</v>
      </c>
      <c r="H15" s="8">
        <v>15</v>
      </c>
      <c r="I15" s="16" t="s">
        <v>28</v>
      </c>
    </row>
    <row r="16" spans="1:18" ht="15.75" customHeight="1" x14ac:dyDescent="0.25">
      <c r="A16" s="5" t="s">
        <v>69</v>
      </c>
      <c r="B16" s="27">
        <v>46128</v>
      </c>
      <c r="C16" s="20" t="str">
        <f t="shared" si="0"/>
        <v>ES</v>
      </c>
      <c r="D16" s="15" t="s">
        <v>44</v>
      </c>
      <c r="E16" s="5" t="s">
        <v>71</v>
      </c>
      <c r="F16" s="23" t="str">
        <f>_xlfn.CONCAT('5) Number Formatting'!D16," ",'5) Number Formatting'!E16)</f>
        <v>Headphones Bose</v>
      </c>
      <c r="G16" s="24">
        <v>250</v>
      </c>
      <c r="H16" s="5">
        <v>20</v>
      </c>
      <c r="I16" s="15" t="s">
        <v>28</v>
      </c>
    </row>
    <row r="17" spans="1:9" ht="15.75" customHeight="1" x14ac:dyDescent="0.25">
      <c r="A17" s="8" t="s">
        <v>72</v>
      </c>
      <c r="B17" s="27">
        <v>46255</v>
      </c>
      <c r="C17" s="20" t="str">
        <f t="shared" si="0"/>
        <v>CA</v>
      </c>
      <c r="D17" s="8" t="s">
        <v>73</v>
      </c>
      <c r="E17" s="8" t="s">
        <v>74</v>
      </c>
      <c r="F17" s="23" t="str">
        <f>_xlfn.CONCAT('5) Number Formatting'!D17," ",'5) Number Formatting'!E17)</f>
        <v>Laptop Bag Samsonite</v>
      </c>
      <c r="G17" s="25">
        <v>50</v>
      </c>
      <c r="H17" s="8">
        <v>35</v>
      </c>
      <c r="I17" s="8" t="s">
        <v>75</v>
      </c>
    </row>
    <row r="18" spans="1:9" ht="15.75" customHeight="1" x14ac:dyDescent="0.25">
      <c r="A18" s="5" t="s">
        <v>76</v>
      </c>
      <c r="B18" s="27">
        <v>46254</v>
      </c>
      <c r="C18" s="20" t="str">
        <f t="shared" si="0"/>
        <v>CN</v>
      </c>
      <c r="D18" s="5" t="s">
        <v>67</v>
      </c>
      <c r="E18" s="5" t="s">
        <v>77</v>
      </c>
      <c r="F18" s="23" t="str">
        <f>_xlfn.CONCAT('5) Number Formatting'!D18," ",'5) Number Formatting'!E18)</f>
        <v>Smartwatch Huawei</v>
      </c>
      <c r="G18" s="24">
        <v>160</v>
      </c>
      <c r="H18" s="5">
        <v>15</v>
      </c>
      <c r="I18" s="15" t="s">
        <v>28</v>
      </c>
    </row>
    <row r="19" spans="1:9" ht="15.75" customHeight="1" x14ac:dyDescent="0.25">
      <c r="A19" s="8" t="s">
        <v>78</v>
      </c>
      <c r="B19" s="27">
        <v>46049</v>
      </c>
      <c r="C19" s="20" t="str">
        <f t="shared" si="0"/>
        <v>IT</v>
      </c>
      <c r="D19" s="8" t="s">
        <v>61</v>
      </c>
      <c r="E19" s="8" t="s">
        <v>79</v>
      </c>
      <c r="F19" s="23" t="str">
        <f>_xlfn.CONCAT('5) Number Formatting'!D19," ",'5) Number Formatting'!E19)</f>
        <v>Laptop Asus</v>
      </c>
      <c r="G19" s="25">
        <v>980</v>
      </c>
      <c r="H19" s="8">
        <v>10</v>
      </c>
      <c r="I19" s="8" t="s">
        <v>28</v>
      </c>
    </row>
    <row r="20" spans="1:9" ht="15.75" customHeight="1" x14ac:dyDescent="0.25">
      <c r="A20" s="5" t="s">
        <v>80</v>
      </c>
      <c r="B20" s="27">
        <v>46082</v>
      </c>
      <c r="C20" s="20" t="str">
        <f t="shared" si="0"/>
        <v>UK</v>
      </c>
      <c r="D20" s="5" t="s">
        <v>81</v>
      </c>
      <c r="E20" s="5" t="s">
        <v>82</v>
      </c>
      <c r="F20" s="23" t="str">
        <f>_xlfn.CONCAT('5) Number Formatting'!D20," ",'5) Number Formatting'!E20)</f>
        <v>Sunglasses Oakley</v>
      </c>
      <c r="G20" s="24">
        <v>150</v>
      </c>
      <c r="H20" s="5">
        <v>15</v>
      </c>
      <c r="I20" s="5" t="s">
        <v>32</v>
      </c>
    </row>
    <row r="21" spans="1:9" ht="15.75" customHeight="1" x14ac:dyDescent="0.25">
      <c r="A21" s="8" t="s">
        <v>83</v>
      </c>
      <c r="B21" s="27">
        <v>46248</v>
      </c>
      <c r="C21" s="20" t="str">
        <f t="shared" si="0"/>
        <v>US</v>
      </c>
      <c r="D21" s="8" t="s">
        <v>84</v>
      </c>
      <c r="E21" s="8" t="s">
        <v>85</v>
      </c>
      <c r="F21" s="23" t="str">
        <f>_xlfn.CONCAT('5) Number Formatting'!D21," ",'5) Number Formatting'!E21)</f>
        <v>Camping Tent Coleman</v>
      </c>
      <c r="G21" s="25">
        <v>309.35399999999998</v>
      </c>
      <c r="H21" s="8">
        <v>10</v>
      </c>
      <c r="I21" s="8" t="s">
        <v>59</v>
      </c>
    </row>
    <row r="22" spans="1:9" ht="15.75" customHeight="1" x14ac:dyDescent="0.25">
      <c r="A22" s="5" t="s">
        <v>86</v>
      </c>
      <c r="B22" s="27">
        <v>46156</v>
      </c>
      <c r="C22" s="20" t="str">
        <f t="shared" si="0"/>
        <v>RU</v>
      </c>
      <c r="D22" s="5" t="s">
        <v>87</v>
      </c>
      <c r="E22" s="5" t="s">
        <v>88</v>
      </c>
      <c r="F22" s="23" t="str">
        <f>_xlfn.CONCAT('5) Number Formatting'!D22," ",'5) Number Formatting'!E22)</f>
        <v>Camera Nikon</v>
      </c>
      <c r="G22" s="24">
        <v>700</v>
      </c>
      <c r="H22" s="5">
        <v>50</v>
      </c>
      <c r="I22" s="5" t="s">
        <v>28</v>
      </c>
    </row>
    <row r="23" spans="1:9" ht="15.75" customHeight="1" x14ac:dyDescent="0.25">
      <c r="A23" s="8" t="s">
        <v>89</v>
      </c>
      <c r="B23" s="27">
        <v>46031</v>
      </c>
      <c r="C23" s="20" t="str">
        <f t="shared" si="0"/>
        <v>CA</v>
      </c>
      <c r="D23" s="8" t="s">
        <v>90</v>
      </c>
      <c r="E23" s="8" t="s">
        <v>91</v>
      </c>
      <c r="F23" s="23" t="str">
        <f>_xlfn.CONCAT('5) Number Formatting'!D23," ",'5) Number Formatting'!E23)</f>
        <v>Microwave Panasonic</v>
      </c>
      <c r="G23" s="25">
        <v>80</v>
      </c>
      <c r="H23" s="8">
        <v>20</v>
      </c>
      <c r="I23" s="8" t="s">
        <v>36</v>
      </c>
    </row>
    <row r="24" spans="1:9" ht="15.75" customHeight="1" x14ac:dyDescent="0.25">
      <c r="A24" s="5" t="s">
        <v>92</v>
      </c>
      <c r="B24" s="27">
        <v>46222</v>
      </c>
      <c r="C24" s="20" t="str">
        <f t="shared" si="0"/>
        <v>BR</v>
      </c>
      <c r="D24" s="5" t="s">
        <v>93</v>
      </c>
      <c r="E24" s="5" t="s">
        <v>94</v>
      </c>
      <c r="F24" s="23" t="str">
        <f>_xlfn.CONCAT('5) Number Formatting'!D24," ",'5) Number Formatting'!E24)</f>
        <v>Fitness Tracker Xiaomi</v>
      </c>
      <c r="G24" s="24">
        <v>150</v>
      </c>
      <c r="H24" s="5">
        <v>30</v>
      </c>
      <c r="I24" s="15" t="s">
        <v>118</v>
      </c>
    </row>
    <row r="25" spans="1:9" ht="15.75" customHeight="1" x14ac:dyDescent="0.25">
      <c r="A25" s="5" t="s">
        <v>95</v>
      </c>
      <c r="B25" s="27">
        <v>46294</v>
      </c>
      <c r="C25" s="20" t="str">
        <f t="shared" si="0"/>
        <v>CA</v>
      </c>
      <c r="D25" s="5" t="s">
        <v>96</v>
      </c>
      <c r="E25" s="5" t="s">
        <v>97</v>
      </c>
      <c r="F25" s="23" t="str">
        <f>_xlfn.CONCAT('5) Number Formatting'!D25," ",'5) Number Formatting'!E25)</f>
        <v>Smartphone Google</v>
      </c>
      <c r="G25" s="24">
        <v>800</v>
      </c>
      <c r="H25" s="5">
        <v>45</v>
      </c>
      <c r="I25" s="5" t="s">
        <v>28</v>
      </c>
    </row>
    <row r="26" spans="1:9" ht="15.75" customHeight="1" x14ac:dyDescent="0.25">
      <c r="A26" s="8" t="s">
        <v>98</v>
      </c>
      <c r="B26" s="27">
        <v>46176</v>
      </c>
      <c r="C26" s="20" t="str">
        <f t="shared" si="0"/>
        <v>CA</v>
      </c>
      <c r="D26" s="8" t="s">
        <v>81</v>
      </c>
      <c r="E26" s="8" t="s">
        <v>99</v>
      </c>
      <c r="F26" s="23" t="str">
        <f>_xlfn.CONCAT('5) Number Formatting'!D26," ",'5) Number Formatting'!E26)</f>
        <v>Sunglasses Ray-Ban</v>
      </c>
      <c r="G26" s="25">
        <v>309.35399999999998</v>
      </c>
      <c r="H26" s="8">
        <v>25</v>
      </c>
      <c r="I26" s="8" t="s">
        <v>32</v>
      </c>
    </row>
    <row r="27" spans="1:9" ht="15.75" customHeight="1" x14ac:dyDescent="0.25">
      <c r="A27" s="5" t="s">
        <v>100</v>
      </c>
      <c r="B27" s="27">
        <v>46214</v>
      </c>
      <c r="C27" s="20" t="str">
        <f t="shared" si="0"/>
        <v>CA</v>
      </c>
      <c r="D27" s="5" t="s">
        <v>51</v>
      </c>
      <c r="E27" s="5" t="s">
        <v>101</v>
      </c>
      <c r="F27" s="23" t="str">
        <f>_xlfn.CONCAT('5) Number Formatting'!D27," ",'5) Number Formatting'!E27)</f>
        <v>Blender Vitamix</v>
      </c>
      <c r="G27" s="24">
        <v>400</v>
      </c>
      <c r="H27" s="5">
        <v>40</v>
      </c>
      <c r="I27" s="5" t="s">
        <v>36</v>
      </c>
    </row>
    <row r="28" spans="1:9" ht="15.75" customHeight="1" x14ac:dyDescent="0.25">
      <c r="A28" s="5" t="s">
        <v>102</v>
      </c>
      <c r="B28" s="27">
        <v>46088</v>
      </c>
      <c r="C28" s="20" t="str">
        <f t="shared" si="0"/>
        <v>CA</v>
      </c>
      <c r="D28" s="5" t="s">
        <v>103</v>
      </c>
      <c r="E28" s="5" t="s">
        <v>104</v>
      </c>
      <c r="F28" s="23" t="str">
        <f>_xlfn.CONCAT('5) Number Formatting'!D28," ",'5) Number Formatting'!E28)</f>
        <v>Dress Zara</v>
      </c>
      <c r="G28" s="24">
        <v>60</v>
      </c>
      <c r="H28" s="5">
        <v>30</v>
      </c>
      <c r="I28" s="5" t="s">
        <v>32</v>
      </c>
    </row>
    <row r="29" spans="1:9" ht="15.75" customHeight="1" x14ac:dyDescent="0.25">
      <c r="A29" s="8" t="s">
        <v>105</v>
      </c>
      <c r="B29" s="27">
        <v>46125</v>
      </c>
      <c r="C29" s="20" t="str">
        <f t="shared" si="0"/>
        <v>CA</v>
      </c>
      <c r="D29" s="8" t="s">
        <v>106</v>
      </c>
      <c r="E29" s="8" t="s">
        <v>107</v>
      </c>
      <c r="F29" s="23" t="str">
        <f>_xlfn.CONCAT('5) Number Formatting'!D29," ",'5) Number Formatting'!E29)</f>
        <v>Toaster Hamilton</v>
      </c>
      <c r="G29" s="25">
        <v>40</v>
      </c>
      <c r="H29" s="8">
        <v>10</v>
      </c>
      <c r="I29" s="8" t="s">
        <v>36</v>
      </c>
    </row>
    <row r="30" spans="1:9" ht="15.75" customHeight="1" x14ac:dyDescent="0.25">
      <c r="A30" s="5" t="s">
        <v>108</v>
      </c>
      <c r="B30" s="27">
        <v>46166</v>
      </c>
      <c r="C30" s="20" t="str">
        <f t="shared" si="0"/>
        <v>CA</v>
      </c>
      <c r="D30" s="5" t="s">
        <v>93</v>
      </c>
      <c r="E30" s="5" t="s">
        <v>109</v>
      </c>
      <c r="F30" s="23" t="str">
        <f>_xlfn.CONCAT('5) Number Formatting'!D30," ",'5) Number Formatting'!E30)</f>
        <v>Fitness Tracker Garmin</v>
      </c>
      <c r="G30" s="24">
        <v>130</v>
      </c>
      <c r="H30" s="5">
        <v>5</v>
      </c>
      <c r="I30" s="5" t="s">
        <v>28</v>
      </c>
    </row>
    <row r="31" spans="1:9" ht="15.75" customHeight="1" x14ac:dyDescent="0.25">
      <c r="A31" s="8" t="s">
        <v>110</v>
      </c>
      <c r="B31" s="27">
        <v>46358</v>
      </c>
      <c r="C31" s="20" t="str">
        <f t="shared" si="0"/>
        <v>CA</v>
      </c>
      <c r="D31" s="8" t="s">
        <v>111</v>
      </c>
      <c r="E31" s="8" t="s">
        <v>112</v>
      </c>
      <c r="F31" s="23" t="str">
        <f>_xlfn.CONCAT('5) Number Formatting'!D31," ",'5) Number Formatting'!E31)</f>
        <v>Jeans Levi's</v>
      </c>
      <c r="G31" s="25">
        <v>50</v>
      </c>
      <c r="H31" s="8">
        <v>50</v>
      </c>
      <c r="I31" s="8" t="s">
        <v>32</v>
      </c>
    </row>
    <row r="32" spans="1:9" ht="15.75" customHeight="1" x14ac:dyDescent="0.25">
      <c r="A32" s="8" t="s">
        <v>113</v>
      </c>
      <c r="B32" s="27">
        <v>46212</v>
      </c>
      <c r="C32" s="20" t="str">
        <f t="shared" si="0"/>
        <v>FR</v>
      </c>
      <c r="D32" s="8" t="s">
        <v>114</v>
      </c>
      <c r="E32" s="8" t="s">
        <v>115</v>
      </c>
      <c r="F32" s="23" t="str">
        <f>_xlfn.CONCAT('5) Number Formatting'!D32," ",'5) Number Formatting'!E32)</f>
        <v>Watch Casio</v>
      </c>
      <c r="G32" s="25">
        <v>100</v>
      </c>
      <c r="H32" s="8">
        <v>20</v>
      </c>
      <c r="I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80A2-7168-4454-B8E6-8EFC93843A71}">
  <sheetPr>
    <outlinePr summaryBelow="0" summaryRight="0"/>
  </sheetPr>
  <dimension ref="A1:R1000"/>
  <sheetViews>
    <sheetView workbookViewId="0">
      <selection activeCell="J3" sqref="J3"/>
    </sheetView>
  </sheetViews>
  <sheetFormatPr defaultColWidth="12.6328125" defaultRowHeight="15" customHeight="1" x14ac:dyDescent="0.25"/>
  <cols>
    <col min="1" max="1" width="12.6328125" customWidth="1"/>
    <col min="2" max="2" width="20.36328125" customWidth="1"/>
    <col min="3" max="3" width="15.08984375" style="21" customWidth="1"/>
    <col min="4" max="5" width="12.6328125" customWidth="1"/>
    <col min="6" max="6" width="23.26953125" style="21" customWidth="1"/>
    <col min="7" max="9" width="12.6328125" customWidth="1"/>
  </cols>
  <sheetData>
    <row r="1" spans="1:18" ht="15.75" customHeight="1" x14ac:dyDescent="0.3">
      <c r="A1" s="7" t="s">
        <v>19</v>
      </c>
      <c r="B1" s="12" t="s">
        <v>121</v>
      </c>
      <c r="C1" s="12" t="s">
        <v>122</v>
      </c>
      <c r="D1" s="7" t="s">
        <v>20</v>
      </c>
      <c r="E1" s="7" t="s">
        <v>21</v>
      </c>
      <c r="F1" s="12" t="s">
        <v>123</v>
      </c>
      <c r="G1" s="10" t="s">
        <v>22</v>
      </c>
      <c r="H1" s="7" t="s">
        <v>23</v>
      </c>
      <c r="I1" s="10" t="s">
        <v>24</v>
      </c>
    </row>
    <row r="2" spans="1:18" ht="15.75" customHeight="1" x14ac:dyDescent="0.25">
      <c r="A2" s="15" t="s">
        <v>25</v>
      </c>
      <c r="B2" s="27">
        <v>46050</v>
      </c>
      <c r="C2" s="20" t="str">
        <f>RIGHT(A2,2)</f>
        <v>US</v>
      </c>
      <c r="D2" s="5" t="s">
        <v>61</v>
      </c>
      <c r="E2" s="5" t="s">
        <v>27</v>
      </c>
      <c r="F2" s="23" t="str">
        <f>_xlfn.CONCAT('6) Conditional Formatting'!D2," ",'6) Conditional Formatting'!E2)</f>
        <v>Laptop Dell</v>
      </c>
      <c r="G2" s="24">
        <v>1000</v>
      </c>
      <c r="H2" s="5">
        <v>30</v>
      </c>
      <c r="I2" s="5" t="s">
        <v>28</v>
      </c>
    </row>
    <row r="3" spans="1:18" ht="15.75" customHeight="1" x14ac:dyDescent="0.3">
      <c r="A3" s="8" t="s">
        <v>29</v>
      </c>
      <c r="B3" s="27">
        <v>46068</v>
      </c>
      <c r="C3" s="20" t="str">
        <f t="shared" ref="C3:C32" si="0">RIGHT(A3,2)</f>
        <v>US</v>
      </c>
      <c r="D3" s="8" t="s">
        <v>30</v>
      </c>
      <c r="E3" s="8" t="s">
        <v>31</v>
      </c>
      <c r="F3" s="23" t="str">
        <f>_xlfn.CONCAT('6) Conditional Formatting'!D3," ",'6) Conditional Formatting'!E3)</f>
        <v>Sneakers Nike</v>
      </c>
      <c r="G3" s="25">
        <v>80</v>
      </c>
      <c r="H3" s="8">
        <v>15</v>
      </c>
      <c r="I3" s="8" t="s">
        <v>32</v>
      </c>
      <c r="J3" s="26"/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5">
      <c r="A4" s="5" t="s">
        <v>33</v>
      </c>
      <c r="B4" s="27">
        <v>46084</v>
      </c>
      <c r="C4" s="20" t="str">
        <f t="shared" si="0"/>
        <v>US</v>
      </c>
      <c r="D4" s="5" t="s">
        <v>34</v>
      </c>
      <c r="E4" s="5" t="s">
        <v>35</v>
      </c>
      <c r="F4" s="23" t="str">
        <f>_xlfn.CONCAT('6) Conditional Formatting'!D4," ",'6) Conditional Formatting'!E4)</f>
        <v>Coffee Maker Keurig</v>
      </c>
      <c r="G4" s="24">
        <v>130</v>
      </c>
      <c r="H4" s="5">
        <v>40</v>
      </c>
      <c r="I4" s="5" t="s">
        <v>36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5">
      <c r="A5" s="8" t="s">
        <v>37</v>
      </c>
      <c r="B5" s="27">
        <v>46123</v>
      </c>
      <c r="C5" s="20" t="str">
        <f t="shared" si="0"/>
        <v>US</v>
      </c>
      <c r="D5" s="16" t="s">
        <v>96</v>
      </c>
      <c r="E5" s="8" t="s">
        <v>39</v>
      </c>
      <c r="F5" s="23" t="str">
        <f>_xlfn.CONCAT('6) Conditional Formatting'!D5," ",'6) Conditional Formatting'!E5)</f>
        <v>Smartphone Samsung</v>
      </c>
      <c r="G5" s="25">
        <v>900</v>
      </c>
      <c r="H5" s="8">
        <v>25</v>
      </c>
      <c r="I5" s="8" t="s">
        <v>28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5" t="s">
        <v>40</v>
      </c>
      <c r="B6" s="27">
        <v>46164</v>
      </c>
      <c r="C6" s="20" t="str">
        <f t="shared" si="0"/>
        <v>US</v>
      </c>
      <c r="D6" s="5" t="s">
        <v>41</v>
      </c>
      <c r="E6" s="5" t="s">
        <v>42</v>
      </c>
      <c r="F6" s="23" t="str">
        <f>_xlfn.CONCAT('6) Conditional Formatting'!D6," ",'6) Conditional Formatting'!E6)</f>
        <v>Backpack North Face</v>
      </c>
      <c r="G6" s="24">
        <v>70</v>
      </c>
      <c r="H6" s="5">
        <v>20</v>
      </c>
      <c r="I6" s="15" t="s">
        <v>118</v>
      </c>
    </row>
    <row r="7" spans="1:18" ht="15.75" customHeight="1" x14ac:dyDescent="0.25">
      <c r="A7" s="8" t="s">
        <v>43</v>
      </c>
      <c r="B7" s="27">
        <v>46180</v>
      </c>
      <c r="C7" s="20" t="str">
        <f t="shared" si="0"/>
        <v>UK</v>
      </c>
      <c r="D7" s="8" t="s">
        <v>44</v>
      </c>
      <c r="E7" s="8" t="s">
        <v>45</v>
      </c>
      <c r="F7" s="23" t="str">
        <f>_xlfn.CONCAT('6) Conditional Formatting'!D7," ",'6) Conditional Formatting'!E7)</f>
        <v>Headphones Sony</v>
      </c>
      <c r="G7" s="25">
        <v>309.35399999999998</v>
      </c>
      <c r="H7" s="8">
        <v>45</v>
      </c>
      <c r="I7" s="16" t="s">
        <v>28</v>
      </c>
    </row>
    <row r="8" spans="1:18" ht="15.75" customHeight="1" x14ac:dyDescent="0.25">
      <c r="A8" s="5" t="s">
        <v>47</v>
      </c>
      <c r="B8" s="27">
        <v>46222</v>
      </c>
      <c r="C8" s="20" t="str">
        <f t="shared" si="0"/>
        <v>UK</v>
      </c>
      <c r="D8" s="5" t="s">
        <v>48</v>
      </c>
      <c r="E8" s="5" t="s">
        <v>49</v>
      </c>
      <c r="F8" s="23" t="str">
        <f>_xlfn.CONCAT('6) Conditional Formatting'!D8," ",'6) Conditional Formatting'!E8)</f>
        <v>T-shirt Adidas</v>
      </c>
      <c r="G8" s="24">
        <v>30</v>
      </c>
      <c r="H8" s="5">
        <v>5</v>
      </c>
      <c r="I8" s="5" t="s">
        <v>32</v>
      </c>
    </row>
    <row r="9" spans="1:18" ht="15.75" customHeight="1" x14ac:dyDescent="0.25">
      <c r="A9" s="8" t="s">
        <v>50</v>
      </c>
      <c r="B9" s="27">
        <v>46257</v>
      </c>
      <c r="C9" s="20" t="str">
        <f t="shared" si="0"/>
        <v>UK</v>
      </c>
      <c r="D9" s="8" t="s">
        <v>51</v>
      </c>
      <c r="E9" s="8" t="s">
        <v>52</v>
      </c>
      <c r="F9" s="23" t="str">
        <f>_xlfn.CONCAT('6) Conditional Formatting'!D9," ",'6) Conditional Formatting'!E9)</f>
        <v>Blender Ninja</v>
      </c>
      <c r="G9" s="25">
        <v>90</v>
      </c>
      <c r="H9" s="8">
        <v>35</v>
      </c>
      <c r="I9" s="8" t="s">
        <v>36</v>
      </c>
    </row>
    <row r="10" spans="1:18" ht="15.75" customHeight="1" x14ac:dyDescent="0.25">
      <c r="A10" s="5" t="s">
        <v>53</v>
      </c>
      <c r="B10" s="27">
        <v>46270</v>
      </c>
      <c r="C10" s="20" t="str">
        <f t="shared" si="0"/>
        <v>UK</v>
      </c>
      <c r="D10" s="5" t="s">
        <v>54</v>
      </c>
      <c r="E10" s="5" t="s">
        <v>55</v>
      </c>
      <c r="F10" s="23" t="str">
        <f>_xlfn.CONCAT('6) Conditional Formatting'!D10," ",'6) Conditional Formatting'!E10)</f>
        <v>Tablet Apple</v>
      </c>
      <c r="G10" s="24">
        <v>500</v>
      </c>
      <c r="H10" s="5">
        <v>50</v>
      </c>
      <c r="I10" s="5" t="s">
        <v>28</v>
      </c>
    </row>
    <row r="11" spans="1:18" ht="15.75" customHeight="1" x14ac:dyDescent="0.25">
      <c r="A11" s="8" t="s">
        <v>56</v>
      </c>
      <c r="B11" s="27">
        <v>46309</v>
      </c>
      <c r="C11" s="20" t="str">
        <f t="shared" si="0"/>
        <v>UK</v>
      </c>
      <c r="D11" s="8" t="s">
        <v>57</v>
      </c>
      <c r="E11" s="8" t="s">
        <v>58</v>
      </c>
      <c r="F11" s="23" t="str">
        <f>_xlfn.CONCAT('6) Conditional Formatting'!D11," ",'6) Conditional Formatting'!E11)</f>
        <v>Hiking Boots Timberland</v>
      </c>
      <c r="G11" s="25">
        <v>130</v>
      </c>
      <c r="H11" s="8">
        <v>10</v>
      </c>
      <c r="I11" s="8" t="s">
        <v>59</v>
      </c>
    </row>
    <row r="12" spans="1:18" ht="15.75" customHeight="1" x14ac:dyDescent="0.25">
      <c r="A12" s="5" t="s">
        <v>60</v>
      </c>
      <c r="B12" s="27">
        <v>46190</v>
      </c>
      <c r="C12" s="20" t="str">
        <f t="shared" si="0"/>
        <v>IN</v>
      </c>
      <c r="D12" s="5" t="s">
        <v>61</v>
      </c>
      <c r="E12" s="5" t="s">
        <v>62</v>
      </c>
      <c r="F12" s="23" t="str">
        <f>_xlfn.CONCAT('6) Conditional Formatting'!D12," ",'6) Conditional Formatting'!E12)</f>
        <v>Laptop HP</v>
      </c>
      <c r="G12" s="24">
        <v>950</v>
      </c>
      <c r="H12" s="5">
        <v>25</v>
      </c>
      <c r="I12" s="5" t="s">
        <v>28</v>
      </c>
    </row>
    <row r="13" spans="1:18" ht="15.75" customHeight="1" x14ac:dyDescent="0.25">
      <c r="A13" s="8" t="s">
        <v>63</v>
      </c>
      <c r="B13" s="27">
        <v>46351</v>
      </c>
      <c r="C13" s="20" t="str">
        <f t="shared" si="0"/>
        <v>AU</v>
      </c>
      <c r="D13" s="8" t="s">
        <v>30</v>
      </c>
      <c r="E13" s="8" t="s">
        <v>49</v>
      </c>
      <c r="F13" s="23" t="str">
        <f>_xlfn.CONCAT('6) Conditional Formatting'!D13," ",'6) Conditional Formatting'!E13)</f>
        <v>Sneakers Adidas</v>
      </c>
      <c r="G13" s="25">
        <v>90</v>
      </c>
      <c r="H13" s="8">
        <v>40</v>
      </c>
      <c r="I13" s="16" t="s">
        <v>118</v>
      </c>
    </row>
    <row r="14" spans="1:18" ht="15.75" customHeight="1" x14ac:dyDescent="0.25">
      <c r="A14" s="5" t="s">
        <v>64</v>
      </c>
      <c r="B14" s="27">
        <v>46364</v>
      </c>
      <c r="C14" s="20" t="str">
        <f t="shared" si="0"/>
        <v>DE</v>
      </c>
      <c r="D14" s="5" t="s">
        <v>34</v>
      </c>
      <c r="E14" s="5" t="s">
        <v>65</v>
      </c>
      <c r="F14" s="23" t="str">
        <f>_xlfn.CONCAT('6) Conditional Formatting'!D14," ",'6) Conditional Formatting'!E14)</f>
        <v>Coffee Maker Nespresso</v>
      </c>
      <c r="G14" s="24">
        <v>120</v>
      </c>
      <c r="H14" s="5">
        <v>35</v>
      </c>
      <c r="I14" s="15" t="s">
        <v>118</v>
      </c>
    </row>
    <row r="15" spans="1:18" ht="15.75" customHeight="1" x14ac:dyDescent="0.25">
      <c r="A15" s="8" t="s">
        <v>66</v>
      </c>
      <c r="B15" s="27">
        <v>46071</v>
      </c>
      <c r="C15" s="20" t="str">
        <f t="shared" si="0"/>
        <v>CA</v>
      </c>
      <c r="D15" s="8" t="s">
        <v>67</v>
      </c>
      <c r="E15" s="8" t="s">
        <v>68</v>
      </c>
      <c r="F15" s="23" t="str">
        <f>_xlfn.CONCAT('6) Conditional Formatting'!D15," ",'6) Conditional Formatting'!E15)</f>
        <v>Smartwatch Fitbit</v>
      </c>
      <c r="G15" s="25">
        <v>150</v>
      </c>
      <c r="H15" s="8">
        <v>15</v>
      </c>
      <c r="I15" s="16" t="s">
        <v>28</v>
      </c>
    </row>
    <row r="16" spans="1:18" ht="15.75" customHeight="1" x14ac:dyDescent="0.25">
      <c r="A16" s="5" t="s">
        <v>69</v>
      </c>
      <c r="B16" s="27">
        <v>46128</v>
      </c>
      <c r="C16" s="20" t="str">
        <f t="shared" si="0"/>
        <v>ES</v>
      </c>
      <c r="D16" s="15" t="s">
        <v>44</v>
      </c>
      <c r="E16" s="5" t="s">
        <v>71</v>
      </c>
      <c r="F16" s="23" t="str">
        <f>_xlfn.CONCAT('6) Conditional Formatting'!D16," ",'6) Conditional Formatting'!E16)</f>
        <v>Headphones Bose</v>
      </c>
      <c r="G16" s="24">
        <v>250</v>
      </c>
      <c r="H16" s="5">
        <v>20</v>
      </c>
      <c r="I16" s="15" t="s">
        <v>28</v>
      </c>
    </row>
    <row r="17" spans="1:9" ht="15.75" customHeight="1" x14ac:dyDescent="0.25">
      <c r="A17" s="8" t="s">
        <v>72</v>
      </c>
      <c r="B17" s="27">
        <v>46255</v>
      </c>
      <c r="C17" s="20" t="str">
        <f t="shared" si="0"/>
        <v>CA</v>
      </c>
      <c r="D17" s="8" t="s">
        <v>73</v>
      </c>
      <c r="E17" s="8" t="s">
        <v>74</v>
      </c>
      <c r="F17" s="23" t="str">
        <f>_xlfn.CONCAT('6) Conditional Formatting'!D17," ",'6) Conditional Formatting'!E17)</f>
        <v>Laptop Bag Samsonite</v>
      </c>
      <c r="G17" s="25">
        <v>50</v>
      </c>
      <c r="H17" s="8">
        <v>35</v>
      </c>
      <c r="I17" s="8" t="s">
        <v>75</v>
      </c>
    </row>
    <row r="18" spans="1:9" ht="15.75" customHeight="1" x14ac:dyDescent="0.25">
      <c r="A18" s="5" t="s">
        <v>76</v>
      </c>
      <c r="B18" s="27">
        <v>46254</v>
      </c>
      <c r="C18" s="20" t="str">
        <f t="shared" si="0"/>
        <v>CN</v>
      </c>
      <c r="D18" s="5" t="s">
        <v>67</v>
      </c>
      <c r="E18" s="5" t="s">
        <v>77</v>
      </c>
      <c r="F18" s="23" t="str">
        <f>_xlfn.CONCAT('6) Conditional Formatting'!D18," ",'6) Conditional Formatting'!E18)</f>
        <v>Smartwatch Huawei</v>
      </c>
      <c r="G18" s="24">
        <v>160</v>
      </c>
      <c r="H18" s="5">
        <v>15</v>
      </c>
      <c r="I18" s="15" t="s">
        <v>28</v>
      </c>
    </row>
    <row r="19" spans="1:9" ht="15.75" customHeight="1" x14ac:dyDescent="0.25">
      <c r="A19" s="8" t="s">
        <v>78</v>
      </c>
      <c r="B19" s="27">
        <v>46049</v>
      </c>
      <c r="C19" s="20" t="str">
        <f t="shared" si="0"/>
        <v>IT</v>
      </c>
      <c r="D19" s="8" t="s">
        <v>61</v>
      </c>
      <c r="E19" s="8" t="s">
        <v>79</v>
      </c>
      <c r="F19" s="23" t="str">
        <f>_xlfn.CONCAT('6) Conditional Formatting'!D19," ",'6) Conditional Formatting'!E19)</f>
        <v>Laptop Asus</v>
      </c>
      <c r="G19" s="25">
        <v>980</v>
      </c>
      <c r="H19" s="8">
        <v>10</v>
      </c>
      <c r="I19" s="8" t="s">
        <v>28</v>
      </c>
    </row>
    <row r="20" spans="1:9" ht="15.75" customHeight="1" x14ac:dyDescent="0.25">
      <c r="A20" s="5" t="s">
        <v>80</v>
      </c>
      <c r="B20" s="27">
        <v>46082</v>
      </c>
      <c r="C20" s="20" t="str">
        <f t="shared" si="0"/>
        <v>UK</v>
      </c>
      <c r="D20" s="5" t="s">
        <v>81</v>
      </c>
      <c r="E20" s="5" t="s">
        <v>82</v>
      </c>
      <c r="F20" s="23" t="str">
        <f>_xlfn.CONCAT('6) Conditional Formatting'!D20," ",'6) Conditional Formatting'!E20)</f>
        <v>Sunglasses Oakley</v>
      </c>
      <c r="G20" s="24">
        <v>150</v>
      </c>
      <c r="H20" s="5">
        <v>15</v>
      </c>
      <c r="I20" s="5" t="s">
        <v>32</v>
      </c>
    </row>
    <row r="21" spans="1:9" ht="15.75" customHeight="1" x14ac:dyDescent="0.25">
      <c r="A21" s="8" t="s">
        <v>83</v>
      </c>
      <c r="B21" s="27">
        <v>46248</v>
      </c>
      <c r="C21" s="20" t="str">
        <f t="shared" si="0"/>
        <v>US</v>
      </c>
      <c r="D21" s="8" t="s">
        <v>84</v>
      </c>
      <c r="E21" s="8" t="s">
        <v>85</v>
      </c>
      <c r="F21" s="23" t="str">
        <f>_xlfn.CONCAT('6) Conditional Formatting'!D21," ",'6) Conditional Formatting'!E21)</f>
        <v>Camping Tent Coleman</v>
      </c>
      <c r="G21" s="25">
        <v>309.35399999999998</v>
      </c>
      <c r="H21" s="8">
        <v>10</v>
      </c>
      <c r="I21" s="8" t="s">
        <v>59</v>
      </c>
    </row>
    <row r="22" spans="1:9" ht="15.75" customHeight="1" x14ac:dyDescent="0.25">
      <c r="A22" s="5" t="s">
        <v>86</v>
      </c>
      <c r="B22" s="27">
        <v>46156</v>
      </c>
      <c r="C22" s="20" t="str">
        <f t="shared" si="0"/>
        <v>RU</v>
      </c>
      <c r="D22" s="5" t="s">
        <v>87</v>
      </c>
      <c r="E22" s="5" t="s">
        <v>88</v>
      </c>
      <c r="F22" s="23" t="str">
        <f>_xlfn.CONCAT('6) Conditional Formatting'!D22," ",'6) Conditional Formatting'!E22)</f>
        <v>Camera Nikon</v>
      </c>
      <c r="G22" s="24">
        <v>700</v>
      </c>
      <c r="H22" s="5">
        <v>50</v>
      </c>
      <c r="I22" s="5" t="s">
        <v>28</v>
      </c>
    </row>
    <row r="23" spans="1:9" ht="15.75" customHeight="1" x14ac:dyDescent="0.25">
      <c r="A23" s="8" t="s">
        <v>89</v>
      </c>
      <c r="B23" s="27">
        <v>46031</v>
      </c>
      <c r="C23" s="20" t="str">
        <f t="shared" si="0"/>
        <v>CA</v>
      </c>
      <c r="D23" s="8" t="s">
        <v>90</v>
      </c>
      <c r="E23" s="8" t="s">
        <v>91</v>
      </c>
      <c r="F23" s="23" t="str">
        <f>_xlfn.CONCAT('6) Conditional Formatting'!D23," ",'6) Conditional Formatting'!E23)</f>
        <v>Microwave Panasonic</v>
      </c>
      <c r="G23" s="25">
        <v>80</v>
      </c>
      <c r="H23" s="8">
        <v>20</v>
      </c>
      <c r="I23" s="8" t="s">
        <v>36</v>
      </c>
    </row>
    <row r="24" spans="1:9" ht="15.75" customHeight="1" x14ac:dyDescent="0.25">
      <c r="A24" s="5" t="s">
        <v>92</v>
      </c>
      <c r="B24" s="27">
        <v>46222</v>
      </c>
      <c r="C24" s="20" t="str">
        <f t="shared" si="0"/>
        <v>BR</v>
      </c>
      <c r="D24" s="5" t="s">
        <v>93</v>
      </c>
      <c r="E24" s="5" t="s">
        <v>94</v>
      </c>
      <c r="F24" s="23" t="str">
        <f>_xlfn.CONCAT('6) Conditional Formatting'!D24," ",'6) Conditional Formatting'!E24)</f>
        <v>Fitness Tracker Xiaomi</v>
      </c>
      <c r="G24" s="24">
        <v>150</v>
      </c>
      <c r="H24" s="5">
        <v>30</v>
      </c>
      <c r="I24" s="15" t="s">
        <v>118</v>
      </c>
    </row>
    <row r="25" spans="1:9" ht="15.75" customHeight="1" x14ac:dyDescent="0.25">
      <c r="A25" s="5" t="s">
        <v>95</v>
      </c>
      <c r="B25" s="27">
        <v>46294</v>
      </c>
      <c r="C25" s="20" t="str">
        <f t="shared" si="0"/>
        <v>CA</v>
      </c>
      <c r="D25" s="5" t="s">
        <v>96</v>
      </c>
      <c r="E25" s="5" t="s">
        <v>97</v>
      </c>
      <c r="F25" s="23" t="str">
        <f>_xlfn.CONCAT('6) Conditional Formatting'!D25," ",'6) Conditional Formatting'!E25)</f>
        <v>Smartphone Google</v>
      </c>
      <c r="G25" s="24">
        <v>800</v>
      </c>
      <c r="H25" s="5">
        <v>45</v>
      </c>
      <c r="I25" s="5" t="s">
        <v>28</v>
      </c>
    </row>
    <row r="26" spans="1:9" ht="15.75" customHeight="1" x14ac:dyDescent="0.25">
      <c r="A26" s="8" t="s">
        <v>98</v>
      </c>
      <c r="B26" s="27">
        <v>46176</v>
      </c>
      <c r="C26" s="20" t="str">
        <f t="shared" si="0"/>
        <v>CA</v>
      </c>
      <c r="D26" s="8" t="s">
        <v>81</v>
      </c>
      <c r="E26" s="8" t="s">
        <v>99</v>
      </c>
      <c r="F26" s="23" t="str">
        <f>_xlfn.CONCAT('6) Conditional Formatting'!D26," ",'6) Conditional Formatting'!E26)</f>
        <v>Sunglasses Ray-Ban</v>
      </c>
      <c r="G26" s="25">
        <v>309.35399999999998</v>
      </c>
      <c r="H26" s="8">
        <v>25</v>
      </c>
      <c r="I26" s="8" t="s">
        <v>32</v>
      </c>
    </row>
    <row r="27" spans="1:9" ht="15.75" customHeight="1" x14ac:dyDescent="0.25">
      <c r="A27" s="5" t="s">
        <v>100</v>
      </c>
      <c r="B27" s="27">
        <v>46214</v>
      </c>
      <c r="C27" s="20" t="str">
        <f t="shared" si="0"/>
        <v>CA</v>
      </c>
      <c r="D27" s="5" t="s">
        <v>51</v>
      </c>
      <c r="E27" s="5" t="s">
        <v>101</v>
      </c>
      <c r="F27" s="23" t="str">
        <f>_xlfn.CONCAT('6) Conditional Formatting'!D27," ",'6) Conditional Formatting'!E27)</f>
        <v>Blender Vitamix</v>
      </c>
      <c r="G27" s="24">
        <v>400</v>
      </c>
      <c r="H27" s="5">
        <v>40</v>
      </c>
      <c r="I27" s="5" t="s">
        <v>36</v>
      </c>
    </row>
    <row r="28" spans="1:9" ht="15.75" customHeight="1" x14ac:dyDescent="0.25">
      <c r="A28" s="5" t="s">
        <v>102</v>
      </c>
      <c r="B28" s="27">
        <v>46088</v>
      </c>
      <c r="C28" s="20" t="str">
        <f t="shared" si="0"/>
        <v>CA</v>
      </c>
      <c r="D28" s="5" t="s">
        <v>103</v>
      </c>
      <c r="E28" s="5" t="s">
        <v>104</v>
      </c>
      <c r="F28" s="23" t="str">
        <f>_xlfn.CONCAT('6) Conditional Formatting'!D28," ",'6) Conditional Formatting'!E28)</f>
        <v>Dress Zara</v>
      </c>
      <c r="G28" s="24">
        <v>60</v>
      </c>
      <c r="H28" s="5">
        <v>30</v>
      </c>
      <c r="I28" s="5" t="s">
        <v>32</v>
      </c>
    </row>
    <row r="29" spans="1:9" ht="15.75" customHeight="1" x14ac:dyDescent="0.25">
      <c r="A29" s="8" t="s">
        <v>105</v>
      </c>
      <c r="B29" s="27">
        <v>46125</v>
      </c>
      <c r="C29" s="20" t="str">
        <f t="shared" si="0"/>
        <v>CA</v>
      </c>
      <c r="D29" s="8" t="s">
        <v>106</v>
      </c>
      <c r="E29" s="8" t="s">
        <v>107</v>
      </c>
      <c r="F29" s="23" t="str">
        <f>_xlfn.CONCAT('6) Conditional Formatting'!D29," ",'6) Conditional Formatting'!E29)</f>
        <v>Toaster Hamilton</v>
      </c>
      <c r="G29" s="25">
        <v>40</v>
      </c>
      <c r="H29" s="8">
        <v>10</v>
      </c>
      <c r="I29" s="8" t="s">
        <v>36</v>
      </c>
    </row>
    <row r="30" spans="1:9" ht="15.75" customHeight="1" x14ac:dyDescent="0.25">
      <c r="A30" s="5" t="s">
        <v>108</v>
      </c>
      <c r="B30" s="27">
        <v>46166</v>
      </c>
      <c r="C30" s="20" t="str">
        <f t="shared" si="0"/>
        <v>CA</v>
      </c>
      <c r="D30" s="5" t="s">
        <v>93</v>
      </c>
      <c r="E30" s="5" t="s">
        <v>109</v>
      </c>
      <c r="F30" s="23" t="str">
        <f>_xlfn.CONCAT('6) Conditional Formatting'!D30," ",'6) Conditional Formatting'!E30)</f>
        <v>Fitness Tracker Garmin</v>
      </c>
      <c r="G30" s="24">
        <v>130</v>
      </c>
      <c r="H30" s="5">
        <v>5</v>
      </c>
      <c r="I30" s="5" t="s">
        <v>28</v>
      </c>
    </row>
    <row r="31" spans="1:9" ht="15.75" customHeight="1" x14ac:dyDescent="0.25">
      <c r="A31" s="8" t="s">
        <v>110</v>
      </c>
      <c r="B31" s="27">
        <v>46358</v>
      </c>
      <c r="C31" s="20" t="str">
        <f t="shared" si="0"/>
        <v>CA</v>
      </c>
      <c r="D31" s="8" t="s">
        <v>111</v>
      </c>
      <c r="E31" s="8" t="s">
        <v>112</v>
      </c>
      <c r="F31" s="23" t="str">
        <f>_xlfn.CONCAT('6) Conditional Formatting'!D31," ",'6) Conditional Formatting'!E31)</f>
        <v>Jeans Levi's</v>
      </c>
      <c r="G31" s="25">
        <v>50</v>
      </c>
      <c r="H31" s="8">
        <v>50</v>
      </c>
      <c r="I31" s="8" t="s">
        <v>32</v>
      </c>
    </row>
    <row r="32" spans="1:9" ht="15.75" customHeight="1" x14ac:dyDescent="0.25">
      <c r="A32" s="8" t="s">
        <v>113</v>
      </c>
      <c r="B32" s="27">
        <v>46212</v>
      </c>
      <c r="C32" s="20" t="str">
        <f t="shared" si="0"/>
        <v>FR</v>
      </c>
      <c r="D32" s="8" t="s">
        <v>114</v>
      </c>
      <c r="E32" s="8" t="s">
        <v>115</v>
      </c>
      <c r="F32" s="23" t="str">
        <f>_xlfn.CONCAT('6) Conditional Formatting'!D32," ",'6) Conditional Formatting'!E32)</f>
        <v>Watch Casio</v>
      </c>
      <c r="G32" s="25">
        <v>100</v>
      </c>
      <c r="H32" s="8">
        <v>20</v>
      </c>
      <c r="I32" s="8" t="s">
        <v>75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:G3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{1E6C4652-6B16-4D3C-9968-EA755BF919C7}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6C4652-6B16-4D3C-9968-EA755BF919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  <x14:conditionalFormatting xmlns:xm="http://schemas.microsoft.com/office/excel/2006/main">
          <x14:cfRule type="containsText" priority="2" operator="containsText" id="{79494D5E-605F-438E-A549-214919E1BC7C}">
            <xm:f>NOT(ISERROR(SEARCH($I$2,I2)))</xm:f>
            <xm:f>$I$2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I2:I32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1) Handling Missing Values</vt:lpstr>
      <vt:lpstr>2) Correcting Inconsistent Data</vt:lpstr>
      <vt:lpstr>3) Removing Duplicates</vt:lpstr>
      <vt:lpstr>4) Splitting and Merging Data</vt:lpstr>
      <vt:lpstr>5) Number Formatting</vt:lpstr>
      <vt:lpstr>6) 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Sujish Ramakrishnan</cp:lastModifiedBy>
  <dcterms:modified xsi:type="dcterms:W3CDTF">2026-09-04T08:23:54Z</dcterms:modified>
</cp:coreProperties>
</file>